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1170" yWindow="1170" windowWidth="14550" windowHeight="7130"/>
  </bookViews>
  <sheets>
    <sheet name="電力消費(千度(MWh))" sheetId="1" r:id="rId1"/>
  </sheets>
  <calcPr calcId="124519"/>
</workbook>
</file>

<file path=xl/calcChain.xml><?xml version="1.0" encoding="utf-8"?>
<calcChain xmlns="http://schemas.openxmlformats.org/spreadsheetml/2006/main">
  <c r="A3" i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2"/>
</calcChain>
</file>

<file path=xl/sharedStrings.xml><?xml version="1.0" encoding="utf-8"?>
<sst xmlns="http://schemas.openxmlformats.org/spreadsheetml/2006/main" count="124" uniqueCount="124">
  <si>
    <t>全國用電量</t>
  </si>
  <si>
    <t>工業用電</t>
  </si>
  <si>
    <t>紡織成衣及服飾品製造業</t>
  </si>
  <si>
    <t>紙漿、紙及紙製品製造業</t>
  </si>
  <si>
    <t>化學材料及肥料製造業</t>
  </si>
  <si>
    <t>塑膠製品製造業</t>
  </si>
  <si>
    <t>非金屬礦物製品製造業</t>
  </si>
  <si>
    <t>基本金屬製造業</t>
  </si>
  <si>
    <t>金屬製品製造業</t>
  </si>
  <si>
    <t>電子產品及電力設備製造業</t>
  </si>
  <si>
    <t>住宅用電</t>
  </si>
  <si>
    <t>服務業用電</t>
  </si>
  <si>
    <t>運輸及倉儲業</t>
  </si>
  <si>
    <t>住宿及餐飲業</t>
  </si>
  <si>
    <t>出版影音及資通訊業</t>
  </si>
  <si>
    <t>金融及保險業</t>
  </si>
  <si>
    <t>不動產業</t>
  </si>
  <si>
    <t>醫療保健及社會工作服務業</t>
  </si>
  <si>
    <t>藝術、娛樂及休閒服務業</t>
  </si>
  <si>
    <t>運輸用電</t>
  </si>
  <si>
    <t>公路</t>
  </si>
  <si>
    <t>鐵路</t>
  </si>
  <si>
    <t>管線運輸</t>
  </si>
  <si>
    <t>能源部門自用</t>
  </si>
  <si>
    <t>農業部門</t>
  </si>
  <si>
    <t>107年01月</t>
  </si>
  <si>
    <t>107年02月</t>
  </si>
  <si>
    <t>107年03月</t>
  </si>
  <si>
    <t>107年04月</t>
  </si>
  <si>
    <t>107年05月</t>
  </si>
  <si>
    <t>107年06月</t>
  </si>
  <si>
    <t>107年07月</t>
  </si>
  <si>
    <t>107年08月</t>
  </si>
  <si>
    <t>107年09月</t>
  </si>
  <si>
    <t>107年10月</t>
  </si>
  <si>
    <t>107年11月</t>
  </si>
  <si>
    <t>107年12月</t>
  </si>
  <si>
    <t>108年01月</t>
  </si>
  <si>
    <t>108年02月</t>
  </si>
  <si>
    <t>108年03月</t>
  </si>
  <si>
    <t>108年04月</t>
  </si>
  <si>
    <t>108年05月</t>
  </si>
  <si>
    <t>108年06月</t>
  </si>
  <si>
    <t>108年07月</t>
  </si>
  <si>
    <t>108年08月</t>
  </si>
  <si>
    <t>108年09月</t>
  </si>
  <si>
    <t>108年10月</t>
  </si>
  <si>
    <t>108年11月</t>
  </si>
  <si>
    <t>108年12月</t>
  </si>
  <si>
    <t>109年01月</t>
  </si>
  <si>
    <t>109年02月</t>
  </si>
  <si>
    <t>109年03月</t>
  </si>
  <si>
    <t>109年04月</t>
  </si>
  <si>
    <t>109年05月</t>
  </si>
  <si>
    <t>109年06月</t>
  </si>
  <si>
    <t>109年07月</t>
  </si>
  <si>
    <t>109年08月</t>
  </si>
  <si>
    <t>109年09月</t>
  </si>
  <si>
    <t>109年10月</t>
  </si>
  <si>
    <t>109年11月</t>
  </si>
  <si>
    <t>109年12月</t>
  </si>
  <si>
    <t>110年01月</t>
  </si>
  <si>
    <t>110年02月</t>
  </si>
  <si>
    <t>110年03月</t>
  </si>
  <si>
    <t>110年04月</t>
  </si>
  <si>
    <t>110年05月</t>
  </si>
  <si>
    <t>110年06月</t>
  </si>
  <si>
    <t>110年07月</t>
  </si>
  <si>
    <t>110年08月</t>
  </si>
  <si>
    <t>110年09月</t>
  </si>
  <si>
    <t>110年10月</t>
  </si>
  <si>
    <t>110年11月</t>
  </si>
  <si>
    <t>110年12月</t>
  </si>
  <si>
    <t>111年01月</t>
  </si>
  <si>
    <t>111年02月</t>
  </si>
  <si>
    <t>111年03月</t>
  </si>
  <si>
    <t>111年04月</t>
  </si>
  <si>
    <t>111年05月</t>
  </si>
  <si>
    <t>111年06月</t>
  </si>
  <si>
    <t>111年07月</t>
  </si>
  <si>
    <t>111年08月</t>
  </si>
  <si>
    <t>111年09月</t>
  </si>
  <si>
    <t>111年10月</t>
  </si>
  <si>
    <t>111年11月</t>
  </si>
  <si>
    <t>111年12月</t>
  </si>
  <si>
    <t>112年01月</t>
  </si>
  <si>
    <t>112年02月</t>
  </si>
  <si>
    <t>112年03月</t>
  </si>
  <si>
    <t>112年04月</t>
  </si>
  <si>
    <t>112年05月</t>
  </si>
  <si>
    <t>112年06月</t>
  </si>
  <si>
    <t>112年07月</t>
  </si>
  <si>
    <t>112年08月</t>
  </si>
  <si>
    <t>112年09月</t>
  </si>
  <si>
    <t>112年10月</t>
  </si>
  <si>
    <t>112年11月</t>
  </si>
  <si>
    <t>112年12月</t>
  </si>
  <si>
    <t>113年01月</t>
  </si>
  <si>
    <t>113年02月</t>
  </si>
  <si>
    <t>113年03月</t>
  </si>
  <si>
    <t>113年04月</t>
  </si>
  <si>
    <t>113年05月</t>
  </si>
  <si>
    <t>113年06月</t>
  </si>
  <si>
    <t>113年07月</t>
  </si>
  <si>
    <t>113年08月</t>
  </si>
  <si>
    <t>113年09月</t>
  </si>
  <si>
    <t>113年10月</t>
  </si>
  <si>
    <t>113年11月</t>
  </si>
  <si>
    <t>113年12月</t>
  </si>
  <si>
    <t>114年01月</t>
  </si>
  <si>
    <t>114年02月</t>
  </si>
  <si>
    <t>114年03月</t>
  </si>
  <si>
    <t>114年04月</t>
  </si>
  <si>
    <t>114年05月</t>
  </si>
  <si>
    <t>114年06月</t>
  </si>
  <si>
    <t>114年07月</t>
  </si>
  <si>
    <t>114年08月</t>
  </si>
  <si>
    <t>114年09月</t>
  </si>
  <si>
    <t>114年10月</t>
  </si>
  <si>
    <t>114年11月</t>
  </si>
  <si>
    <t>114年12月</t>
  </si>
  <si>
    <t>115年01月</t>
  </si>
  <si>
    <t>西元年</t>
    <phoneticPr fontId="4" type="noConversion"/>
  </si>
  <si>
    <t>民國年</t>
    <phoneticPr fontId="4" type="noConversion"/>
  </si>
</sst>
</file>

<file path=xl/styles.xml><?xml version="1.0" encoding="utf-8"?>
<styleSheet xmlns="http://schemas.openxmlformats.org/spreadsheetml/2006/main">
  <numFmts count="1">
    <numFmt numFmtId="179" formatCode="yyyy/m/d;@"/>
  </numFmts>
  <fonts count="5">
    <font>
      <sz val="11"/>
      <name val="Calibri"/>
    </font>
    <font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283842"/>
      </left>
      <right style="thin">
        <color rgb="FF283842"/>
      </right>
      <top style="thin">
        <color rgb="FF283842"/>
      </top>
      <bottom style="thin">
        <color rgb="FF283842"/>
      </bottom>
      <diagonal/>
    </border>
    <border>
      <left style="thin">
        <color rgb="FF283842"/>
      </left>
      <right style="thin">
        <color rgb="FF283842"/>
      </right>
      <top style="thin">
        <color rgb="FF283842"/>
      </top>
      <bottom style="thin">
        <color rgb="FF2838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3842"/>
      </left>
      <right/>
      <top style="thin">
        <color rgb="FF283842"/>
      </top>
      <bottom style="thin">
        <color rgb="FF283842"/>
      </bottom>
      <diagonal/>
    </border>
    <border>
      <left/>
      <right style="thin">
        <color rgb="FF283842"/>
      </right>
      <top style="thin">
        <color rgb="FF283842"/>
      </top>
      <bottom style="thin">
        <color rgb="FF28384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8"/>
  <sheetViews>
    <sheetView tabSelected="1" workbookViewId="0">
      <selection activeCell="AH6" sqref="AH6"/>
    </sheetView>
  </sheetViews>
  <sheetFormatPr defaultRowHeight="14.5"/>
  <cols>
    <col min="1" max="2" width="18.26953125" style="5" customWidth="1"/>
    <col min="3" max="4" width="16.81640625" style="8" customWidth="1"/>
    <col min="5" max="6" width="28.26953125" style="8" customWidth="1"/>
    <col min="7" max="7" width="25.81640625" style="8" customWidth="1"/>
    <col min="8" max="8" width="18.26953125" style="8" customWidth="1"/>
    <col min="9" max="9" width="25.81640625" style="8" customWidth="1"/>
    <col min="10" max="11" width="18.26953125" style="8" customWidth="1"/>
    <col min="12" max="12" width="30.81640625" style="8" customWidth="1"/>
    <col min="13" max="14" width="14.81640625" style="8" customWidth="1"/>
    <col min="15" max="16" width="15.81640625" style="8" customWidth="1"/>
    <col min="17" max="17" width="23.26953125" style="8" customWidth="1"/>
    <col min="18" max="18" width="15.81640625" style="8" customWidth="1"/>
    <col min="19" max="19" width="12.81640625" style="8" customWidth="1"/>
    <col min="20" max="20" width="30.81640625" style="8" customWidth="1"/>
    <col min="21" max="21" width="28.26953125" style="8" customWidth="1"/>
    <col min="22" max="22" width="12.81640625" style="8" customWidth="1"/>
    <col min="23" max="23" width="10.81640625" style="8" customWidth="1"/>
    <col min="24" max="24" width="12.81640625" style="8" customWidth="1"/>
    <col min="25" max="25" width="10.81640625" style="8" customWidth="1"/>
    <col min="26" max="26" width="15.81640625" style="8" customWidth="1"/>
    <col min="27" max="27" width="12.81640625" style="8" customWidth="1"/>
  </cols>
  <sheetData>
    <row r="1" spans="1:27" ht="28" customHeight="1">
      <c r="A1" s="2" t="s">
        <v>122</v>
      </c>
      <c r="B1" s="2" t="s">
        <v>123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t="28" customHeight="1">
      <c r="A2" s="3" t="str">
        <f>TEXT(DATE(LEFT(B2,3)+1911, MID(B2,5,2), 1), "yyyy-mm")</f>
        <v>2018-01</v>
      </c>
      <c r="B2" s="4" t="s">
        <v>25</v>
      </c>
      <c r="C2" s="6">
        <v>20695282.408</v>
      </c>
      <c r="D2" s="7">
        <v>12189231.9252</v>
      </c>
      <c r="E2" s="7">
        <v>514825.01799999998</v>
      </c>
      <c r="F2" s="7">
        <v>303909.30699999997</v>
      </c>
      <c r="G2" s="7">
        <v>2694312.665</v>
      </c>
      <c r="H2" s="7">
        <v>449108.64500000002</v>
      </c>
      <c r="I2" s="7">
        <v>487544.77</v>
      </c>
      <c r="J2" s="7">
        <v>1615958.6429999999</v>
      </c>
      <c r="K2" s="7">
        <v>571833.32987999998</v>
      </c>
      <c r="L2" s="7">
        <v>4097906.1480999999</v>
      </c>
      <c r="M2" s="7">
        <v>3294706.9635800002</v>
      </c>
      <c r="N2" s="7">
        <v>3404896.1238600002</v>
      </c>
      <c r="O2" s="7">
        <v>179173.63099999999</v>
      </c>
      <c r="P2" s="7">
        <v>484323.25300000003</v>
      </c>
      <c r="Q2" s="7">
        <v>257298.66737000001</v>
      </c>
      <c r="R2" s="7">
        <v>135553.34099999999</v>
      </c>
      <c r="S2" s="7">
        <v>108009.645</v>
      </c>
      <c r="T2" s="7">
        <v>227018.34599999999</v>
      </c>
      <c r="U2" s="7">
        <v>82735.005999999994</v>
      </c>
      <c r="V2" s="7">
        <v>119149.65399999999</v>
      </c>
      <c r="W2" s="7">
        <v>3267.69</v>
      </c>
      <c r="X2" s="7">
        <v>112812.675</v>
      </c>
      <c r="Y2" s="7">
        <v>3069.2890000000002</v>
      </c>
      <c r="Z2" s="7">
        <v>1475474.2069999999</v>
      </c>
      <c r="AA2" s="7">
        <v>211823.53435999999</v>
      </c>
    </row>
    <row r="3" spans="1:27" ht="28" customHeight="1">
      <c r="A3" s="3" t="str">
        <f>TEXT(DATE(LEFT(B3,3)+1911, MID(B3,5,2), 1), "yyyy-mm")</f>
        <v>2018-02</v>
      </c>
      <c r="B3" s="4" t="s">
        <v>26</v>
      </c>
      <c r="C3" s="6">
        <v>18072952.808979999</v>
      </c>
      <c r="D3" s="7">
        <v>10414277.12737</v>
      </c>
      <c r="E3" s="7">
        <v>407642.092</v>
      </c>
      <c r="F3" s="7">
        <v>231149.85</v>
      </c>
      <c r="G3" s="7">
        <v>2404035.0729999999</v>
      </c>
      <c r="H3" s="7">
        <v>358132.75699999998</v>
      </c>
      <c r="I3" s="7">
        <v>396853.48800000001</v>
      </c>
      <c r="J3" s="7">
        <v>1338788.6059999999</v>
      </c>
      <c r="K3" s="7">
        <v>440378.01377999998</v>
      </c>
      <c r="L3" s="7">
        <v>3677472.34938</v>
      </c>
      <c r="M3" s="7">
        <v>3188496.9837600002</v>
      </c>
      <c r="N3" s="7">
        <v>2864713.2624400002</v>
      </c>
      <c r="O3" s="7">
        <v>173901.13200000001</v>
      </c>
      <c r="P3" s="7">
        <v>424737.60499999998</v>
      </c>
      <c r="Q3" s="7">
        <v>225530.23155</v>
      </c>
      <c r="R3" s="7">
        <v>109213.86599999999</v>
      </c>
      <c r="S3" s="7">
        <v>91981.718999999997</v>
      </c>
      <c r="T3" s="7">
        <v>194350.04</v>
      </c>
      <c r="U3" s="7">
        <v>72603.7</v>
      </c>
      <c r="V3" s="7">
        <v>111369.22500000001</v>
      </c>
      <c r="W3" s="7">
        <v>3409.21</v>
      </c>
      <c r="X3" s="7">
        <v>104906.656</v>
      </c>
      <c r="Y3" s="7">
        <v>3053.3589999999999</v>
      </c>
      <c r="Z3" s="7">
        <v>1299205.327</v>
      </c>
      <c r="AA3" s="7">
        <v>194890.88341000001</v>
      </c>
    </row>
    <row r="4" spans="1:27" ht="28" customHeight="1">
      <c r="A4" s="3" t="str">
        <f>TEXT(DATE(LEFT(B4,3)+1911, MID(B4,5,2), 1), "yyyy-mm")</f>
        <v>2018-03</v>
      </c>
      <c r="B4" s="4" t="s">
        <v>27</v>
      </c>
      <c r="C4" s="6">
        <v>21128319.046</v>
      </c>
      <c r="D4" s="7">
        <v>12296612.822310001</v>
      </c>
      <c r="E4" s="7">
        <v>529188.01500000001</v>
      </c>
      <c r="F4" s="7">
        <v>308082.51500000001</v>
      </c>
      <c r="G4" s="7">
        <v>2699413.639</v>
      </c>
      <c r="H4" s="7">
        <v>454066.92499999999</v>
      </c>
      <c r="I4" s="7">
        <v>466805.94199999998</v>
      </c>
      <c r="J4" s="7">
        <v>1669028.9550000001</v>
      </c>
      <c r="K4" s="7">
        <v>569091.94811999996</v>
      </c>
      <c r="L4" s="7">
        <v>4133695.7684800001</v>
      </c>
      <c r="M4" s="7">
        <v>3481564.29941</v>
      </c>
      <c r="N4" s="7">
        <v>3496827.6212599999</v>
      </c>
      <c r="O4" s="7">
        <v>203274.10800000001</v>
      </c>
      <c r="P4" s="7">
        <v>488097.37</v>
      </c>
      <c r="Q4" s="7">
        <v>267489.71669999999</v>
      </c>
      <c r="R4" s="7">
        <v>132967.01500000001</v>
      </c>
      <c r="S4" s="7">
        <v>109971.844</v>
      </c>
      <c r="T4" s="7">
        <v>240261.851</v>
      </c>
      <c r="U4" s="7">
        <v>86567.225999999995</v>
      </c>
      <c r="V4" s="7">
        <v>124614.302</v>
      </c>
      <c r="W4" s="7">
        <v>3605.3760000000002</v>
      </c>
      <c r="X4" s="7">
        <v>117856.35</v>
      </c>
      <c r="Y4" s="7">
        <v>3152.576</v>
      </c>
      <c r="Z4" s="7">
        <v>1508255.638</v>
      </c>
      <c r="AA4" s="7">
        <v>220444.36301999999</v>
      </c>
    </row>
    <row r="5" spans="1:27" ht="28" customHeight="1">
      <c r="A5" s="3" t="str">
        <f>TEXT(DATE(LEFT(B5,3)+1911, MID(B5,5,2), 1), "yyyy-mm")</f>
        <v>2018-04</v>
      </c>
      <c r="B5" s="4" t="s">
        <v>28</v>
      </c>
      <c r="C5" s="6">
        <v>20920022.362</v>
      </c>
      <c r="D5" s="7">
        <v>12078345.772059999</v>
      </c>
      <c r="E5" s="7">
        <v>506242.30599999998</v>
      </c>
      <c r="F5" s="7">
        <v>291959.24400000001</v>
      </c>
      <c r="G5" s="7">
        <v>2671474.5249999999</v>
      </c>
      <c r="H5" s="7">
        <v>425190.56599999999</v>
      </c>
      <c r="I5" s="7">
        <v>472266.59899999999</v>
      </c>
      <c r="J5" s="7">
        <v>1597191.577</v>
      </c>
      <c r="K5" s="7">
        <v>552064.36462000001</v>
      </c>
      <c r="L5" s="7">
        <v>4148016.8765799999</v>
      </c>
      <c r="M5" s="7">
        <v>3428327.5336500001</v>
      </c>
      <c r="N5" s="7">
        <v>3536999.6990499999</v>
      </c>
      <c r="O5" s="7">
        <v>213132.31</v>
      </c>
      <c r="P5" s="7">
        <v>510210.29</v>
      </c>
      <c r="Q5" s="7">
        <v>262739.99033</v>
      </c>
      <c r="R5" s="7">
        <v>135074.95199999999</v>
      </c>
      <c r="S5" s="7">
        <v>111458.06299999999</v>
      </c>
      <c r="T5" s="7">
        <v>249766.82174000001</v>
      </c>
      <c r="U5" s="7">
        <v>92216.788</v>
      </c>
      <c r="V5" s="7">
        <v>125915.95</v>
      </c>
      <c r="W5" s="7">
        <v>3700.0889999999999</v>
      </c>
      <c r="X5" s="7">
        <v>119137.45299999999</v>
      </c>
      <c r="Y5" s="7">
        <v>3078.4079999999999</v>
      </c>
      <c r="Z5" s="7">
        <v>1520227.2290000001</v>
      </c>
      <c r="AA5" s="7">
        <v>230206.17824000001</v>
      </c>
    </row>
    <row r="6" spans="1:27" ht="28" customHeight="1">
      <c r="A6" s="3" t="str">
        <f>TEXT(DATE(LEFT(B6,3)+1911, MID(B6,5,2), 1), "yyyy-mm")</f>
        <v>2018-05</v>
      </c>
      <c r="B6" s="4" t="s">
        <v>29</v>
      </c>
      <c r="C6" s="6">
        <v>22777482.997000001</v>
      </c>
      <c r="D6" s="7">
        <v>13121115.45342</v>
      </c>
      <c r="E6" s="7">
        <v>546929.99199999997</v>
      </c>
      <c r="F6" s="7">
        <v>308296.14600000001</v>
      </c>
      <c r="G6" s="7">
        <v>2844863.483</v>
      </c>
      <c r="H6" s="7">
        <v>478107.32799999998</v>
      </c>
      <c r="I6" s="7">
        <v>503921.98499999999</v>
      </c>
      <c r="J6" s="7">
        <v>1701429.264</v>
      </c>
      <c r="K6" s="7">
        <v>606892.85285000002</v>
      </c>
      <c r="L6" s="7">
        <v>4498935.4350800002</v>
      </c>
      <c r="M6" s="7">
        <v>3424884.62396</v>
      </c>
      <c r="N6" s="7">
        <v>4133524.5142399999</v>
      </c>
      <c r="O6" s="7">
        <v>251428.71299999999</v>
      </c>
      <c r="P6" s="7">
        <v>597730.43400000001</v>
      </c>
      <c r="Q6" s="7">
        <v>293807.60926</v>
      </c>
      <c r="R6" s="7">
        <v>166320.54500000001</v>
      </c>
      <c r="S6" s="7">
        <v>131434.76800000001</v>
      </c>
      <c r="T6" s="7">
        <v>302371.09600999998</v>
      </c>
      <c r="U6" s="7">
        <v>108163.489</v>
      </c>
      <c r="V6" s="7">
        <v>131200.17600000001</v>
      </c>
      <c r="W6" s="7">
        <v>3791.067</v>
      </c>
      <c r="X6" s="7">
        <v>124259.86500000001</v>
      </c>
      <c r="Y6" s="7">
        <v>3149.2440000000001</v>
      </c>
      <c r="Z6" s="7">
        <v>1717093.4920000001</v>
      </c>
      <c r="AA6" s="7">
        <v>249664.73738000001</v>
      </c>
    </row>
    <row r="7" spans="1:27" ht="28" customHeight="1">
      <c r="A7" s="3" t="str">
        <f>TEXT(DATE(LEFT(B7,3)+1911, MID(B7,5,2), 1), "yyyy-mm")</f>
        <v>2018-06</v>
      </c>
      <c r="B7" s="4" t="s">
        <v>30</v>
      </c>
      <c r="C7" s="6">
        <v>22868181.28105</v>
      </c>
      <c r="D7" s="7">
        <v>12620899.55587</v>
      </c>
      <c r="E7" s="7">
        <v>528474.48899999994</v>
      </c>
      <c r="F7" s="7">
        <v>307930.28700000001</v>
      </c>
      <c r="G7" s="7">
        <v>2654389.7749999999</v>
      </c>
      <c r="H7" s="7">
        <v>466885.11900000001</v>
      </c>
      <c r="I7" s="7">
        <v>476186.37699999998</v>
      </c>
      <c r="J7" s="7">
        <v>1627284.4210000001</v>
      </c>
      <c r="K7" s="7">
        <v>601146.03041000001</v>
      </c>
      <c r="L7" s="7">
        <v>4351302.0522400001</v>
      </c>
      <c r="M7" s="7">
        <v>3883662.2034800001</v>
      </c>
      <c r="N7" s="7">
        <v>4280540.6770299999</v>
      </c>
      <c r="O7" s="7">
        <v>259882.28</v>
      </c>
      <c r="P7" s="7">
        <v>650794.40099999995</v>
      </c>
      <c r="Q7" s="7">
        <v>288517.62764999998</v>
      </c>
      <c r="R7" s="7">
        <v>172102.23199999999</v>
      </c>
      <c r="S7" s="7">
        <v>136138.62</v>
      </c>
      <c r="T7" s="7">
        <v>307707.96730999998</v>
      </c>
      <c r="U7" s="7">
        <v>116172.52499999999</v>
      </c>
      <c r="V7" s="7">
        <v>128227.802</v>
      </c>
      <c r="W7" s="7">
        <v>3924.9270000000001</v>
      </c>
      <c r="X7" s="7">
        <v>121224.637</v>
      </c>
      <c r="Y7" s="7">
        <v>3078.2379999999998</v>
      </c>
      <c r="Z7" s="7">
        <v>1677729.8280400001</v>
      </c>
      <c r="AA7" s="7">
        <v>277121.21463</v>
      </c>
    </row>
    <row r="8" spans="1:27" ht="28" customHeight="1">
      <c r="A8" s="3" t="str">
        <f>TEXT(DATE(LEFT(B8,3)+1911, MID(B8,5,2), 1), "yyyy-mm")</f>
        <v>2018-07</v>
      </c>
      <c r="B8" s="4" t="s">
        <v>31</v>
      </c>
      <c r="C8" s="6">
        <v>24636526.006999999</v>
      </c>
      <c r="D8" s="7">
        <v>13117855.73959</v>
      </c>
      <c r="E8" s="7">
        <v>551367.71100000001</v>
      </c>
      <c r="F8" s="7">
        <v>319194.76799999998</v>
      </c>
      <c r="G8" s="7">
        <v>2672333.057</v>
      </c>
      <c r="H8" s="7">
        <v>480712.26199999999</v>
      </c>
      <c r="I8" s="7">
        <v>496106.59499999997</v>
      </c>
      <c r="J8" s="7">
        <v>1671098.987</v>
      </c>
      <c r="K8" s="7">
        <v>608218.54318000004</v>
      </c>
      <c r="L8" s="7">
        <v>4605928.1255799998</v>
      </c>
      <c r="M8" s="7">
        <v>4727219.7259099996</v>
      </c>
      <c r="N8" s="7">
        <v>4571666.7079699999</v>
      </c>
      <c r="O8" s="7">
        <v>280115.54399999999</v>
      </c>
      <c r="P8" s="7">
        <v>721933.96900000004</v>
      </c>
      <c r="Q8" s="7">
        <v>312272.02649999998</v>
      </c>
      <c r="R8" s="7">
        <v>193906.856</v>
      </c>
      <c r="S8" s="7">
        <v>151780.62</v>
      </c>
      <c r="T8" s="7">
        <v>327958.52883000002</v>
      </c>
      <c r="U8" s="7">
        <v>128426.393</v>
      </c>
      <c r="V8" s="7">
        <v>132746.30100000001</v>
      </c>
      <c r="W8" s="7">
        <v>4069.4090000000001</v>
      </c>
      <c r="X8" s="7">
        <v>125506.807</v>
      </c>
      <c r="Y8" s="7">
        <v>3170.085</v>
      </c>
      <c r="Z8" s="7">
        <v>1811981.909</v>
      </c>
      <c r="AA8" s="7">
        <v>275055.62352999998</v>
      </c>
    </row>
    <row r="9" spans="1:27" ht="28" customHeight="1">
      <c r="A9" s="3" t="str">
        <f>TEXT(DATE(LEFT(B9,3)+1911, MID(B9,5,2), 1), "yyyy-mm")</f>
        <v>2018-08</v>
      </c>
      <c r="B9" s="4" t="s">
        <v>32</v>
      </c>
      <c r="C9" s="6">
        <v>24914489.598979998</v>
      </c>
      <c r="D9" s="7">
        <v>13237600.75162</v>
      </c>
      <c r="E9" s="7">
        <v>556747.73400000005</v>
      </c>
      <c r="F9" s="7">
        <v>316405.34999999998</v>
      </c>
      <c r="G9" s="7">
        <v>2777750.321</v>
      </c>
      <c r="H9" s="7">
        <v>487919.946</v>
      </c>
      <c r="I9" s="7">
        <v>488952.27299999999</v>
      </c>
      <c r="J9" s="7">
        <v>1680616.057</v>
      </c>
      <c r="K9" s="7">
        <v>631512.59540999995</v>
      </c>
      <c r="L9" s="7">
        <v>4584118.9430200001</v>
      </c>
      <c r="M9" s="7">
        <v>4953074.0150199998</v>
      </c>
      <c r="N9" s="7">
        <v>4547502.9866800001</v>
      </c>
      <c r="O9" s="7">
        <v>283621.10800000001</v>
      </c>
      <c r="P9" s="7">
        <v>727925.79599999997</v>
      </c>
      <c r="Q9" s="7">
        <v>307199.26974999998</v>
      </c>
      <c r="R9" s="7">
        <v>190422.815</v>
      </c>
      <c r="S9" s="7">
        <v>150440.587</v>
      </c>
      <c r="T9" s="7">
        <v>330165.70929000003</v>
      </c>
      <c r="U9" s="7">
        <v>130293.91800000001</v>
      </c>
      <c r="V9" s="7">
        <v>132572.42800000001</v>
      </c>
      <c r="W9" s="7">
        <v>4179.5969999999998</v>
      </c>
      <c r="X9" s="7">
        <v>125164.45699999999</v>
      </c>
      <c r="Y9" s="7">
        <v>3228.3739999999998</v>
      </c>
      <c r="Z9" s="7">
        <v>1756871.58</v>
      </c>
      <c r="AA9" s="7">
        <v>286867.83766000002</v>
      </c>
    </row>
    <row r="10" spans="1:27" ht="28" customHeight="1">
      <c r="A10" s="3" t="str">
        <f>TEXT(DATE(LEFT(B10,3)+1911, MID(B10,5,2), 1), "yyyy-mm")</f>
        <v>2018-09</v>
      </c>
      <c r="B10" s="4" t="s">
        <v>33</v>
      </c>
      <c r="C10" s="6">
        <v>24444133.239999998</v>
      </c>
      <c r="D10" s="7">
        <v>12687501.10007</v>
      </c>
      <c r="E10" s="7">
        <v>528506.65099999995</v>
      </c>
      <c r="F10" s="7">
        <v>304691.79100000003</v>
      </c>
      <c r="G10" s="7">
        <v>2727279.696</v>
      </c>
      <c r="H10" s="7">
        <v>447922.114</v>
      </c>
      <c r="I10" s="7">
        <v>475399.15899999999</v>
      </c>
      <c r="J10" s="7">
        <v>1605666.7720000001</v>
      </c>
      <c r="K10" s="7">
        <v>589883.23285000003</v>
      </c>
      <c r="L10" s="7">
        <v>4382827.51676</v>
      </c>
      <c r="M10" s="7">
        <v>5132590.73018</v>
      </c>
      <c r="N10" s="7">
        <v>4570528.1452000001</v>
      </c>
      <c r="O10" s="7">
        <v>272674.31900000002</v>
      </c>
      <c r="P10" s="7">
        <v>733448.52500000002</v>
      </c>
      <c r="Q10" s="7">
        <v>307935.03967999999</v>
      </c>
      <c r="R10" s="7">
        <v>185538.48699999999</v>
      </c>
      <c r="S10" s="7">
        <v>148794.7573</v>
      </c>
      <c r="T10" s="7">
        <v>309789.10236000002</v>
      </c>
      <c r="U10" s="7">
        <v>125610.26300000001</v>
      </c>
      <c r="V10" s="7">
        <v>127524.73</v>
      </c>
      <c r="W10" s="7">
        <v>4343.8450000000003</v>
      </c>
      <c r="X10" s="7">
        <v>120033.538</v>
      </c>
      <c r="Y10" s="7">
        <v>3147.3470000000002</v>
      </c>
      <c r="Z10" s="7">
        <v>1653337.5549999999</v>
      </c>
      <c r="AA10" s="7">
        <v>272650.97954999999</v>
      </c>
    </row>
    <row r="11" spans="1:27" ht="28" customHeight="1">
      <c r="A11" s="3" t="str">
        <f>TEXT(DATE(LEFT(B11,3)+1911, MID(B11,5,2), 1), "yyyy-mm")</f>
        <v>2018-10</v>
      </c>
      <c r="B11" s="4" t="s">
        <v>34</v>
      </c>
      <c r="C11" s="6">
        <v>23385080.492010001</v>
      </c>
      <c r="D11" s="7">
        <v>12735885.00977</v>
      </c>
      <c r="E11" s="7">
        <v>523653.10700000002</v>
      </c>
      <c r="F11" s="7">
        <v>317419.00699999998</v>
      </c>
      <c r="G11" s="7">
        <v>2725695.835</v>
      </c>
      <c r="H11" s="7">
        <v>452761.93599999999</v>
      </c>
      <c r="I11" s="7">
        <v>504216.033</v>
      </c>
      <c r="J11" s="7">
        <v>1679798.3759999999</v>
      </c>
      <c r="K11" s="7">
        <v>599287.71528999996</v>
      </c>
      <c r="L11" s="7">
        <v>4336802.2637</v>
      </c>
      <c r="M11" s="7">
        <v>4476331.7346599996</v>
      </c>
      <c r="N11" s="7">
        <v>4156956.2647500001</v>
      </c>
      <c r="O11" s="7">
        <v>251834.323</v>
      </c>
      <c r="P11" s="7">
        <v>654137.40300000005</v>
      </c>
      <c r="Q11" s="7">
        <v>287280.68605000002</v>
      </c>
      <c r="R11" s="7">
        <v>164982.66</v>
      </c>
      <c r="S11" s="7">
        <v>131793.68723000001</v>
      </c>
      <c r="T11" s="7">
        <v>281168.20653999998</v>
      </c>
      <c r="U11" s="7">
        <v>113772.86</v>
      </c>
      <c r="V11" s="7">
        <v>127367.736</v>
      </c>
      <c r="W11" s="7">
        <v>4620.665</v>
      </c>
      <c r="X11" s="7">
        <v>119587.921</v>
      </c>
      <c r="Y11" s="7">
        <v>3159.15</v>
      </c>
      <c r="Z11" s="7">
        <v>1628670.4539999999</v>
      </c>
      <c r="AA11" s="7">
        <v>259869.29282999999</v>
      </c>
    </row>
    <row r="12" spans="1:27" ht="28" customHeight="1">
      <c r="A12" s="3" t="str">
        <f>TEXT(DATE(LEFT(B12,3)+1911, MID(B12,5,2), 1), "yyyy-mm")</f>
        <v>2018-11</v>
      </c>
      <c r="B12" s="4" t="s">
        <v>35</v>
      </c>
      <c r="C12" s="6">
        <v>21949102.235989999</v>
      </c>
      <c r="D12" s="7">
        <v>12257271.7379</v>
      </c>
      <c r="E12" s="7">
        <v>488956.55099999998</v>
      </c>
      <c r="F12" s="7">
        <v>302697.08</v>
      </c>
      <c r="G12" s="7">
        <v>2654706.3259999999</v>
      </c>
      <c r="H12" s="7">
        <v>438379.20899999997</v>
      </c>
      <c r="I12" s="7">
        <v>491327.32900000003</v>
      </c>
      <c r="J12" s="7">
        <v>1593923.6429999999</v>
      </c>
      <c r="K12" s="7">
        <v>581794.37289</v>
      </c>
      <c r="L12" s="7">
        <v>4175069.7323400001</v>
      </c>
      <c r="M12" s="7">
        <v>3846694.4889799999</v>
      </c>
      <c r="N12" s="7">
        <v>3932057.8939700001</v>
      </c>
      <c r="O12" s="7">
        <v>234731.03200000001</v>
      </c>
      <c r="P12" s="7">
        <v>600940.23499999999</v>
      </c>
      <c r="Q12" s="7">
        <v>284745.17706000002</v>
      </c>
      <c r="R12" s="7">
        <v>157230.60999999999</v>
      </c>
      <c r="S12" s="7">
        <v>124448.77611000001</v>
      </c>
      <c r="T12" s="7">
        <v>260297.55939000001</v>
      </c>
      <c r="U12" s="7">
        <v>103792.818</v>
      </c>
      <c r="V12" s="7">
        <v>126706.625</v>
      </c>
      <c r="W12" s="7">
        <v>5038.3339999999998</v>
      </c>
      <c r="X12" s="7">
        <v>118681.565</v>
      </c>
      <c r="Y12" s="7">
        <v>2986.7260000000001</v>
      </c>
      <c r="Z12" s="7">
        <v>1541948.0819999999</v>
      </c>
      <c r="AA12" s="7">
        <v>244423.40814000001</v>
      </c>
    </row>
    <row r="13" spans="1:27" ht="28" customHeight="1">
      <c r="A13" s="3" t="str">
        <f>TEXT(DATE(LEFT(B13,3)+1911, MID(B13,5,2), 1), "yyyy-mm")</f>
        <v>2018-12</v>
      </c>
      <c r="B13" s="4" t="s">
        <v>36</v>
      </c>
      <c r="C13" s="6">
        <v>20775686.177990001</v>
      </c>
      <c r="D13" s="7">
        <v>12213413.529929999</v>
      </c>
      <c r="E13" s="7">
        <v>481942.11300000001</v>
      </c>
      <c r="F13" s="7">
        <v>302887.49099999998</v>
      </c>
      <c r="G13" s="7">
        <v>2674833.9890000001</v>
      </c>
      <c r="H13" s="7">
        <v>437295.48800000001</v>
      </c>
      <c r="I13" s="7">
        <v>503714.989</v>
      </c>
      <c r="J13" s="7">
        <v>1623442.368</v>
      </c>
      <c r="K13" s="7">
        <v>575369.86054999998</v>
      </c>
      <c r="L13" s="7">
        <v>4126407.8953800001</v>
      </c>
      <c r="M13" s="7">
        <v>3012191.9941199999</v>
      </c>
      <c r="N13" s="7">
        <v>3595365.5770399999</v>
      </c>
      <c r="O13" s="7">
        <v>222320.50399999999</v>
      </c>
      <c r="P13" s="7">
        <v>562215.58799999999</v>
      </c>
      <c r="Q13" s="7">
        <v>273905.93358000001</v>
      </c>
      <c r="R13" s="7">
        <v>144091.85999999999</v>
      </c>
      <c r="S13" s="7">
        <v>115715.13179</v>
      </c>
      <c r="T13" s="7">
        <v>246581.55254999999</v>
      </c>
      <c r="U13" s="7">
        <v>98428.36</v>
      </c>
      <c r="V13" s="7">
        <v>130941.871</v>
      </c>
      <c r="W13" s="7">
        <v>5219.3689999999997</v>
      </c>
      <c r="X13" s="7">
        <v>122433.121</v>
      </c>
      <c r="Y13" s="7">
        <v>3289.3809999999999</v>
      </c>
      <c r="Z13" s="7">
        <v>1585638.2120000001</v>
      </c>
      <c r="AA13" s="7">
        <v>238134.9939</v>
      </c>
    </row>
    <row r="14" spans="1:27" ht="28" customHeight="1">
      <c r="A14" s="3" t="str">
        <f>TEXT(DATE(LEFT(B14,3)+1911, MID(B14,5,2), 1), "yyyy-mm")</f>
        <v>2019-01</v>
      </c>
      <c r="B14" s="4" t="s">
        <v>37</v>
      </c>
      <c r="C14" s="6">
        <v>20846879.962990001</v>
      </c>
      <c r="D14" s="7">
        <v>12202442.83522</v>
      </c>
      <c r="E14" s="7">
        <v>494025.87900000002</v>
      </c>
      <c r="F14" s="7">
        <v>312449.016</v>
      </c>
      <c r="G14" s="7">
        <v>2678064.06</v>
      </c>
      <c r="H14" s="7">
        <v>445417.978</v>
      </c>
      <c r="I14" s="7">
        <v>493076.06300000002</v>
      </c>
      <c r="J14" s="7">
        <v>1613462.4779999999</v>
      </c>
      <c r="K14" s="7">
        <v>569341.34121999994</v>
      </c>
      <c r="L14" s="7">
        <v>4082216.64536</v>
      </c>
      <c r="M14" s="7">
        <v>3266792.6223800001</v>
      </c>
      <c r="N14" s="7">
        <v>3496740.8840700001</v>
      </c>
      <c r="O14" s="7">
        <v>219212.234</v>
      </c>
      <c r="P14" s="7">
        <v>527960.12899999996</v>
      </c>
      <c r="Q14" s="7">
        <v>276460.41736999998</v>
      </c>
      <c r="R14" s="7">
        <v>140422.01500000001</v>
      </c>
      <c r="S14" s="7">
        <v>113671.28969000001</v>
      </c>
      <c r="T14" s="7">
        <v>236938.27767000001</v>
      </c>
      <c r="U14" s="7">
        <v>81213.938999999998</v>
      </c>
      <c r="V14" s="7">
        <v>127567.23</v>
      </c>
      <c r="W14" s="7">
        <v>5764.8379999999997</v>
      </c>
      <c r="X14" s="7">
        <v>118602.993</v>
      </c>
      <c r="Y14" s="7">
        <v>3199.3989999999999</v>
      </c>
      <c r="Z14" s="7">
        <v>1534303.0789999999</v>
      </c>
      <c r="AA14" s="7">
        <v>219033.31232</v>
      </c>
    </row>
    <row r="15" spans="1:27" ht="28" customHeight="1">
      <c r="A15" s="3" t="str">
        <f>TEXT(DATE(LEFT(B15,3)+1911, MID(B15,5,2), 1), "yyyy-mm")</f>
        <v>2019-02</v>
      </c>
      <c r="B15" s="4" t="s">
        <v>38</v>
      </c>
      <c r="C15" s="6">
        <v>18362423.274020001</v>
      </c>
      <c r="D15" s="7">
        <v>10335066.040689999</v>
      </c>
      <c r="E15" s="7">
        <v>391837.424</v>
      </c>
      <c r="F15" s="7">
        <v>248601.32699999999</v>
      </c>
      <c r="G15" s="7">
        <v>2352375.7850000001</v>
      </c>
      <c r="H15" s="7">
        <v>342024.90700000001</v>
      </c>
      <c r="I15" s="7">
        <v>398461.49099999998</v>
      </c>
      <c r="J15" s="7">
        <v>1346777.3840000001</v>
      </c>
      <c r="K15" s="7">
        <v>431732.16022999998</v>
      </c>
      <c r="L15" s="7">
        <v>3617303.2607700001</v>
      </c>
      <c r="M15" s="7">
        <v>3188521.6755599999</v>
      </c>
      <c r="N15" s="7">
        <v>3116511.9101800001</v>
      </c>
      <c r="O15" s="7">
        <v>193817.33300000001</v>
      </c>
      <c r="P15" s="7">
        <v>486375.18599999999</v>
      </c>
      <c r="Q15" s="7">
        <v>253862.47695000001</v>
      </c>
      <c r="R15" s="7">
        <v>116505.014</v>
      </c>
      <c r="S15" s="7">
        <v>99389.616760000004</v>
      </c>
      <c r="T15" s="7">
        <v>211819.72922000001</v>
      </c>
      <c r="U15" s="7">
        <v>85154.341</v>
      </c>
      <c r="V15" s="7">
        <v>122427.867</v>
      </c>
      <c r="W15" s="7">
        <v>5471.3059999999996</v>
      </c>
      <c r="X15" s="7">
        <v>113768.215</v>
      </c>
      <c r="Y15" s="7">
        <v>3188.346</v>
      </c>
      <c r="Z15" s="7">
        <v>1380932.564</v>
      </c>
      <c r="AA15" s="7">
        <v>218963.21659</v>
      </c>
    </row>
    <row r="16" spans="1:27" ht="28" customHeight="1">
      <c r="A16" s="3" t="str">
        <f>TEXT(DATE(LEFT(B16,3)+1911, MID(B16,5,2), 1), "yyyy-mm")</f>
        <v>2019-03</v>
      </c>
      <c r="B16" s="4" t="s">
        <v>39</v>
      </c>
      <c r="C16" s="6">
        <v>20853683.673999999</v>
      </c>
      <c r="D16" s="7">
        <v>12160241.11744</v>
      </c>
      <c r="E16" s="7">
        <v>502855.20600000001</v>
      </c>
      <c r="F16" s="7">
        <v>303517.152</v>
      </c>
      <c r="G16" s="7">
        <v>2609395.56</v>
      </c>
      <c r="H16" s="7">
        <v>436832.46100000001</v>
      </c>
      <c r="I16" s="7">
        <v>487650.25300000003</v>
      </c>
      <c r="J16" s="7">
        <v>1647197.7579999999</v>
      </c>
      <c r="K16" s="7">
        <v>539475.60011</v>
      </c>
      <c r="L16" s="7">
        <v>4164292.55461</v>
      </c>
      <c r="M16" s="7">
        <v>3278133.2895399998</v>
      </c>
      <c r="N16" s="7">
        <v>3432363.5142999999</v>
      </c>
      <c r="O16" s="7">
        <v>218966.61900000001</v>
      </c>
      <c r="P16" s="7">
        <v>517403.701</v>
      </c>
      <c r="Q16" s="7">
        <v>275705.61093999998</v>
      </c>
      <c r="R16" s="7">
        <v>130697.61900000001</v>
      </c>
      <c r="S16" s="7">
        <v>107753.75603</v>
      </c>
      <c r="T16" s="7">
        <v>243389.69923</v>
      </c>
      <c r="U16" s="7">
        <v>92420.731</v>
      </c>
      <c r="V16" s="7">
        <v>129527.122</v>
      </c>
      <c r="W16" s="7">
        <v>5969.348</v>
      </c>
      <c r="X16" s="7">
        <v>120372.38800000001</v>
      </c>
      <c r="Y16" s="7">
        <v>3185.386</v>
      </c>
      <c r="Z16" s="7">
        <v>1634252.915</v>
      </c>
      <c r="AA16" s="7">
        <v>219165.71572000001</v>
      </c>
    </row>
    <row r="17" spans="1:27" ht="28" customHeight="1">
      <c r="A17" s="3" t="str">
        <f>TEXT(DATE(LEFT(B17,3)+1911, MID(B17,5,2), 1), "yyyy-mm")</f>
        <v>2019-04</v>
      </c>
      <c r="B17" s="4" t="s">
        <v>40</v>
      </c>
      <c r="C17" s="6">
        <v>20715771.710000001</v>
      </c>
      <c r="D17" s="7">
        <v>12010815.25577</v>
      </c>
      <c r="E17" s="7">
        <v>491739.32299999997</v>
      </c>
      <c r="F17" s="7">
        <v>280476.85100000002</v>
      </c>
      <c r="G17" s="7">
        <v>2525727.3670000001</v>
      </c>
      <c r="H17" s="7">
        <v>436623.46500000003</v>
      </c>
      <c r="I17" s="7">
        <v>473262.82299999997</v>
      </c>
      <c r="J17" s="7">
        <v>1571238.2520000001</v>
      </c>
      <c r="K17" s="7">
        <v>549447.18218</v>
      </c>
      <c r="L17" s="7">
        <v>4196175.6031200001</v>
      </c>
      <c r="M17" s="7">
        <v>3203662.48593</v>
      </c>
      <c r="N17" s="7">
        <v>3565863.0318900002</v>
      </c>
      <c r="O17" s="7">
        <v>244086.861</v>
      </c>
      <c r="P17" s="7">
        <v>528426.91799999995</v>
      </c>
      <c r="Q17" s="7">
        <v>272155.11054999998</v>
      </c>
      <c r="R17" s="7">
        <v>136995.992</v>
      </c>
      <c r="S17" s="7">
        <v>109910.97912</v>
      </c>
      <c r="T17" s="7">
        <v>263630.55981000001</v>
      </c>
      <c r="U17" s="7">
        <v>98034.702000000005</v>
      </c>
      <c r="V17" s="7">
        <v>130459.394</v>
      </c>
      <c r="W17" s="7">
        <v>6042.6120000000001</v>
      </c>
      <c r="X17" s="7">
        <v>121407.308</v>
      </c>
      <c r="Y17" s="7">
        <v>3009.4740000000002</v>
      </c>
      <c r="Z17" s="7">
        <v>1575480.5090000001</v>
      </c>
      <c r="AA17" s="7">
        <v>229491.03341</v>
      </c>
    </row>
    <row r="18" spans="1:27" ht="28" customHeight="1">
      <c r="A18" s="3" t="str">
        <f>TEXT(DATE(LEFT(B18,3)+1911, MID(B18,5,2), 1), "yyyy-mm")</f>
        <v>2019-05</v>
      </c>
      <c r="B18" s="4" t="s">
        <v>41</v>
      </c>
      <c r="C18" s="6">
        <v>22469640.844999999</v>
      </c>
      <c r="D18" s="7">
        <v>12784619.34753</v>
      </c>
      <c r="E18" s="7">
        <v>522071.96600000001</v>
      </c>
      <c r="F18" s="7">
        <v>313205.67499999999</v>
      </c>
      <c r="G18" s="7">
        <v>2699127.642</v>
      </c>
      <c r="H18" s="7">
        <v>471440.30599999998</v>
      </c>
      <c r="I18" s="7">
        <v>490891.64299999998</v>
      </c>
      <c r="J18" s="7">
        <v>1623202.8330000001</v>
      </c>
      <c r="K18" s="7">
        <v>580975.50560000003</v>
      </c>
      <c r="L18" s="7">
        <v>4456815.4716800004</v>
      </c>
      <c r="M18" s="7">
        <v>3520947.78755</v>
      </c>
      <c r="N18" s="7">
        <v>4041492.3552399999</v>
      </c>
      <c r="O18" s="7">
        <v>269058.815</v>
      </c>
      <c r="P18" s="7">
        <v>623724.04299999995</v>
      </c>
      <c r="Q18" s="7">
        <v>298129.28130999999</v>
      </c>
      <c r="R18" s="7">
        <v>159078.61300000001</v>
      </c>
      <c r="S18" s="7">
        <v>124740.55555</v>
      </c>
      <c r="T18" s="7">
        <v>290659.33967999998</v>
      </c>
      <c r="U18" s="7">
        <v>110965.31600000001</v>
      </c>
      <c r="V18" s="7">
        <v>132238.462</v>
      </c>
      <c r="W18" s="7">
        <v>6314.4390000000003</v>
      </c>
      <c r="X18" s="7">
        <v>122676.921</v>
      </c>
      <c r="Y18" s="7">
        <v>3247.1019999999999</v>
      </c>
      <c r="Z18" s="7">
        <v>1737170.165</v>
      </c>
      <c r="AA18" s="7">
        <v>253172.72768000001</v>
      </c>
    </row>
    <row r="19" spans="1:27" ht="28" customHeight="1">
      <c r="A19" s="3" t="str">
        <f>TEXT(DATE(LEFT(B19,3)+1911, MID(B19,5,2), 1), "yyyy-mm")</f>
        <v>2019-06</v>
      </c>
      <c r="B19" s="4" t="s">
        <v>42</v>
      </c>
      <c r="C19" s="6">
        <v>22780988.484790001</v>
      </c>
      <c r="D19" s="7">
        <v>12377739.61867</v>
      </c>
      <c r="E19" s="7">
        <v>484711.66200000001</v>
      </c>
      <c r="F19" s="7">
        <v>295604.16700000002</v>
      </c>
      <c r="G19" s="7">
        <v>2588256.327</v>
      </c>
      <c r="H19" s="7">
        <v>447009.03200000001</v>
      </c>
      <c r="I19" s="7">
        <v>482053.64199999999</v>
      </c>
      <c r="J19" s="7">
        <v>1525924.3570000001</v>
      </c>
      <c r="K19" s="7">
        <v>557920.28315999999</v>
      </c>
      <c r="L19" s="7">
        <v>4351516.5809699995</v>
      </c>
      <c r="M19" s="7">
        <v>4090440.7078100001</v>
      </c>
      <c r="N19" s="7">
        <v>4198287.4569699997</v>
      </c>
      <c r="O19" s="7">
        <v>284417.25300000003</v>
      </c>
      <c r="P19" s="7">
        <v>655783.06299999997</v>
      </c>
      <c r="Q19" s="7">
        <v>291644.93002000003</v>
      </c>
      <c r="R19" s="7">
        <v>161579.266</v>
      </c>
      <c r="S19" s="7">
        <v>125734.53378</v>
      </c>
      <c r="T19" s="7">
        <v>307386.35840999999</v>
      </c>
      <c r="U19" s="7">
        <v>118725.52800000001</v>
      </c>
      <c r="V19" s="7">
        <v>131772.87400000001</v>
      </c>
      <c r="W19" s="7">
        <v>6458.143</v>
      </c>
      <c r="X19" s="7">
        <v>122244.253</v>
      </c>
      <c r="Y19" s="7">
        <v>3070.4780000000001</v>
      </c>
      <c r="Z19" s="7">
        <v>1720894.0967999999</v>
      </c>
      <c r="AA19" s="7">
        <v>261853.73053999999</v>
      </c>
    </row>
    <row r="20" spans="1:27" ht="28" customHeight="1">
      <c r="A20" s="3" t="str">
        <f>TEXT(DATE(LEFT(B20,3)+1911, MID(B20,5,2), 1), "yyyy-mm")</f>
        <v>2019-07</v>
      </c>
      <c r="B20" s="4" t="s">
        <v>43</v>
      </c>
      <c r="C20" s="6">
        <v>24146702.423980001</v>
      </c>
      <c r="D20" s="7">
        <v>13186971.240390001</v>
      </c>
      <c r="E20" s="7">
        <v>522443.495</v>
      </c>
      <c r="F20" s="7">
        <v>321680.04100000003</v>
      </c>
      <c r="G20" s="7">
        <v>2784668.51</v>
      </c>
      <c r="H20" s="7">
        <v>479602.62599999999</v>
      </c>
      <c r="I20" s="7">
        <v>492539.75400000002</v>
      </c>
      <c r="J20" s="7">
        <v>1570882.827</v>
      </c>
      <c r="K20" s="7">
        <v>590768.04836000002</v>
      </c>
      <c r="L20" s="7">
        <v>4680534.3182499995</v>
      </c>
      <c r="M20" s="7">
        <v>4354231.2043700004</v>
      </c>
      <c r="N20" s="7">
        <v>4436938.1556200003</v>
      </c>
      <c r="O20" s="7">
        <v>304241.40899999999</v>
      </c>
      <c r="P20" s="7">
        <v>712343.83700000006</v>
      </c>
      <c r="Q20" s="7">
        <v>307774.66996999999</v>
      </c>
      <c r="R20" s="7">
        <v>182810.745</v>
      </c>
      <c r="S20" s="7">
        <v>130476.66895000001</v>
      </c>
      <c r="T20" s="7">
        <v>340387.70335000003</v>
      </c>
      <c r="U20" s="7">
        <v>131912.33300000001</v>
      </c>
      <c r="V20" s="7">
        <v>138056.55600000001</v>
      </c>
      <c r="W20" s="7">
        <v>6768.0950000000003</v>
      </c>
      <c r="X20" s="7">
        <v>128156.5</v>
      </c>
      <c r="Y20" s="7">
        <v>3131.9609999999998</v>
      </c>
      <c r="Z20" s="7">
        <v>1762690.436</v>
      </c>
      <c r="AA20" s="7">
        <v>267814.83159999998</v>
      </c>
    </row>
    <row r="21" spans="1:27" ht="28" customHeight="1">
      <c r="A21" s="3" t="str">
        <f>TEXT(DATE(LEFT(B21,3)+1911, MID(B21,5,2), 1), "yyyy-mm")</f>
        <v>2019-08</v>
      </c>
      <c r="B21" s="4" t="s">
        <v>44</v>
      </c>
      <c r="C21" s="6">
        <v>24853146.69201</v>
      </c>
      <c r="D21" s="7">
        <v>13209471.47425</v>
      </c>
      <c r="E21" s="7">
        <v>519783.88199999998</v>
      </c>
      <c r="F21" s="7">
        <v>307297.57299999997</v>
      </c>
      <c r="G21" s="7">
        <v>2814182.781</v>
      </c>
      <c r="H21" s="7">
        <v>481536.01400000002</v>
      </c>
      <c r="I21" s="7">
        <v>493734.33299999998</v>
      </c>
      <c r="J21" s="7">
        <v>1563444.723</v>
      </c>
      <c r="K21" s="7">
        <v>596896.60227000003</v>
      </c>
      <c r="L21" s="7">
        <v>4692077.2007999998</v>
      </c>
      <c r="M21" s="7">
        <v>4879273.4999599997</v>
      </c>
      <c r="N21" s="7">
        <v>4523003.59779</v>
      </c>
      <c r="O21" s="7">
        <v>317070.359</v>
      </c>
      <c r="P21" s="7">
        <v>749898.05</v>
      </c>
      <c r="Q21" s="7">
        <v>309122.38208000001</v>
      </c>
      <c r="R21" s="7">
        <v>177900.74900000001</v>
      </c>
      <c r="S21" s="7">
        <v>119522.47089</v>
      </c>
      <c r="T21" s="7">
        <v>345417.53654</v>
      </c>
      <c r="U21" s="7">
        <v>141533.74799999999</v>
      </c>
      <c r="V21" s="7">
        <v>136473.90100000001</v>
      </c>
      <c r="W21" s="7">
        <v>6860.2780000000002</v>
      </c>
      <c r="X21" s="7">
        <v>126210.18700000001</v>
      </c>
      <c r="Y21" s="7">
        <v>3403.4360000000001</v>
      </c>
      <c r="Z21" s="7">
        <v>1811451.439</v>
      </c>
      <c r="AA21" s="7">
        <v>293472.78000999999</v>
      </c>
    </row>
    <row r="22" spans="1:27" ht="28" customHeight="1">
      <c r="A22" s="3" t="str">
        <f>TEXT(DATE(LEFT(B22,3)+1911, MID(B22,5,2), 1), "yyyy-mm")</f>
        <v>2019-09</v>
      </c>
      <c r="B22" s="4" t="s">
        <v>45</v>
      </c>
      <c r="C22" s="6">
        <v>24187347.44901</v>
      </c>
      <c r="D22" s="7">
        <v>12300102.80445</v>
      </c>
      <c r="E22" s="7">
        <v>479262.23100000003</v>
      </c>
      <c r="F22" s="7">
        <v>294240.15999999997</v>
      </c>
      <c r="G22" s="7">
        <v>2452983.6060000001</v>
      </c>
      <c r="H22" s="7">
        <v>453583.065</v>
      </c>
      <c r="I22" s="7">
        <v>470419.28200000001</v>
      </c>
      <c r="J22" s="7">
        <v>1488499.051</v>
      </c>
      <c r="K22" s="7">
        <v>561849.33149000001</v>
      </c>
      <c r="L22" s="7">
        <v>4431567.7926099999</v>
      </c>
      <c r="M22" s="7">
        <v>5398176.8408899996</v>
      </c>
      <c r="N22" s="7">
        <v>4491901.8685900001</v>
      </c>
      <c r="O22" s="7">
        <v>304888.23</v>
      </c>
      <c r="P22" s="7">
        <v>769750.321</v>
      </c>
      <c r="Q22" s="7">
        <v>311208.96464999998</v>
      </c>
      <c r="R22" s="7">
        <v>173947.08900000001</v>
      </c>
      <c r="S22" s="7">
        <v>110835.33259999999</v>
      </c>
      <c r="T22" s="7">
        <v>317692.16989000002</v>
      </c>
      <c r="U22" s="7">
        <v>137755.80499999999</v>
      </c>
      <c r="V22" s="7">
        <v>132293.37700000001</v>
      </c>
      <c r="W22" s="7">
        <v>7108.3779999999997</v>
      </c>
      <c r="X22" s="7">
        <v>122068.546</v>
      </c>
      <c r="Y22" s="7">
        <v>3116.453</v>
      </c>
      <c r="Z22" s="7">
        <v>1576774.4609999999</v>
      </c>
      <c r="AA22" s="7">
        <v>288098.09707999998</v>
      </c>
    </row>
    <row r="23" spans="1:27" ht="28" customHeight="1">
      <c r="A23" s="3" t="str">
        <f>TEXT(DATE(LEFT(B23,3)+1911, MID(B23,5,2), 1), "yyyy-mm")</f>
        <v>2019-10</v>
      </c>
      <c r="B23" s="4" t="s">
        <v>46</v>
      </c>
      <c r="C23" s="6">
        <v>23698612.089000002</v>
      </c>
      <c r="D23" s="7">
        <v>12678815.590439999</v>
      </c>
      <c r="E23" s="7">
        <v>477674.78899999999</v>
      </c>
      <c r="F23" s="7">
        <v>300260.12099999998</v>
      </c>
      <c r="G23" s="7">
        <v>2709916.58</v>
      </c>
      <c r="H23" s="7">
        <v>467785.77</v>
      </c>
      <c r="I23" s="7">
        <v>483811.59299999999</v>
      </c>
      <c r="J23" s="7">
        <v>1524952.17</v>
      </c>
      <c r="K23" s="7">
        <v>561656.78784999996</v>
      </c>
      <c r="L23" s="7">
        <v>4484457.67875</v>
      </c>
      <c r="M23" s="7">
        <v>4746353.0574899996</v>
      </c>
      <c r="N23" s="7">
        <v>4168967.33024</v>
      </c>
      <c r="O23" s="7">
        <v>288594.67200000002</v>
      </c>
      <c r="P23" s="7">
        <v>690794.97900000005</v>
      </c>
      <c r="Q23" s="7">
        <v>291065.16782999999</v>
      </c>
      <c r="R23" s="7">
        <v>157725.08499999999</v>
      </c>
      <c r="S23" s="7">
        <v>98493.807490000007</v>
      </c>
      <c r="T23" s="7">
        <v>302047.19508999999</v>
      </c>
      <c r="U23" s="7">
        <v>127880.402</v>
      </c>
      <c r="V23" s="7">
        <v>137619.37400000001</v>
      </c>
      <c r="W23" s="7">
        <v>7518.1530000000002</v>
      </c>
      <c r="X23" s="7">
        <v>127086.663</v>
      </c>
      <c r="Y23" s="7">
        <v>3014.558</v>
      </c>
      <c r="Z23" s="7">
        <v>1683106.044</v>
      </c>
      <c r="AA23" s="7">
        <v>283750.69283000001</v>
      </c>
    </row>
    <row r="24" spans="1:27" ht="28" customHeight="1">
      <c r="A24" s="3" t="str">
        <f>TEXT(DATE(LEFT(B24,3)+1911, MID(B24,5,2), 1), "yyyy-mm")</f>
        <v>2019-11</v>
      </c>
      <c r="B24" s="4" t="s">
        <v>47</v>
      </c>
      <c r="C24" s="6">
        <v>22056616.342</v>
      </c>
      <c r="D24" s="7">
        <v>12177678.794570001</v>
      </c>
      <c r="E24" s="7">
        <v>451073.23499999999</v>
      </c>
      <c r="F24" s="7">
        <v>293349.66100000002</v>
      </c>
      <c r="G24" s="7">
        <v>2638655.4210000001</v>
      </c>
      <c r="H24" s="7">
        <v>447732.201</v>
      </c>
      <c r="I24" s="7">
        <v>488334.59399999998</v>
      </c>
      <c r="J24" s="7">
        <v>1461640.797</v>
      </c>
      <c r="K24" s="7">
        <v>545879.41691000003</v>
      </c>
      <c r="L24" s="7">
        <v>4261736.7882700004</v>
      </c>
      <c r="M24" s="7">
        <v>4086702.5465600002</v>
      </c>
      <c r="N24" s="7">
        <v>3829241.3277699999</v>
      </c>
      <c r="O24" s="7">
        <v>263030.14500000002</v>
      </c>
      <c r="P24" s="7">
        <v>642611.777</v>
      </c>
      <c r="Q24" s="7">
        <v>287220.56984000001</v>
      </c>
      <c r="R24" s="7">
        <v>133956.84599999999</v>
      </c>
      <c r="S24" s="7">
        <v>72339.754279999994</v>
      </c>
      <c r="T24" s="7">
        <v>261697.53031999999</v>
      </c>
      <c r="U24" s="7">
        <v>116060.85</v>
      </c>
      <c r="V24" s="7">
        <v>129057.46</v>
      </c>
      <c r="W24" s="7">
        <v>7805.6530000000002</v>
      </c>
      <c r="X24" s="7">
        <v>118437.111</v>
      </c>
      <c r="Y24" s="7">
        <v>2814.6959999999999</v>
      </c>
      <c r="Z24" s="7">
        <v>1564295.5260000001</v>
      </c>
      <c r="AA24" s="7">
        <v>269640.68709999998</v>
      </c>
    </row>
    <row r="25" spans="1:27" ht="28" customHeight="1">
      <c r="A25" s="3" t="str">
        <f>TEXT(DATE(LEFT(B25,3)+1911, MID(B25,5,2), 1), "yyyy-mm")</f>
        <v>2019-12</v>
      </c>
      <c r="B25" s="4" t="s">
        <v>48</v>
      </c>
      <c r="C25" s="6">
        <v>20750989.366980001</v>
      </c>
      <c r="D25" s="7">
        <v>12294957.585550001</v>
      </c>
      <c r="E25" s="7">
        <v>450508.89899999998</v>
      </c>
      <c r="F25" s="7">
        <v>319160.87900000002</v>
      </c>
      <c r="G25" s="7">
        <v>2642873.5920000002</v>
      </c>
      <c r="H25" s="7">
        <v>453184.342</v>
      </c>
      <c r="I25" s="7">
        <v>498566.61700000003</v>
      </c>
      <c r="J25" s="7">
        <v>1519051.726</v>
      </c>
      <c r="K25" s="7">
        <v>546841.26115999999</v>
      </c>
      <c r="L25" s="7">
        <v>4323639.0900100004</v>
      </c>
      <c r="M25" s="7">
        <v>3105834.4681299999</v>
      </c>
      <c r="N25" s="7">
        <v>3380467.4520700001</v>
      </c>
      <c r="O25" s="7">
        <v>244021.96</v>
      </c>
      <c r="P25" s="7">
        <v>548394.41200000001</v>
      </c>
      <c r="Q25" s="7">
        <v>273736.76459999999</v>
      </c>
      <c r="R25" s="7">
        <v>115466.14599999999</v>
      </c>
      <c r="S25" s="7">
        <v>57848.565179999998</v>
      </c>
      <c r="T25" s="7">
        <v>244847.76019</v>
      </c>
      <c r="U25" s="7">
        <v>103691.739</v>
      </c>
      <c r="V25" s="7">
        <v>132328.92000000001</v>
      </c>
      <c r="W25" s="7">
        <v>8626.2289999999994</v>
      </c>
      <c r="X25" s="7">
        <v>120983.07799999999</v>
      </c>
      <c r="Y25" s="7">
        <v>2719.6129999999998</v>
      </c>
      <c r="Z25" s="7">
        <v>1596061.1610000001</v>
      </c>
      <c r="AA25" s="7">
        <v>241339.78023</v>
      </c>
    </row>
    <row r="26" spans="1:27" ht="28" customHeight="1">
      <c r="A26" s="3" t="str">
        <f>TEXT(DATE(LEFT(B26,3)+1911, MID(B26,5,2), 1), "yyyy-mm")</f>
        <v>2020-01</v>
      </c>
      <c r="B26" s="4" t="s">
        <v>49</v>
      </c>
      <c r="C26" s="6">
        <v>19982095.69399</v>
      </c>
      <c r="D26" s="7">
        <v>11694837.526860001</v>
      </c>
      <c r="E26" s="7">
        <v>400964.16600000003</v>
      </c>
      <c r="F26" s="7">
        <v>289124.245</v>
      </c>
      <c r="G26" s="7">
        <v>2640606.673</v>
      </c>
      <c r="H26" s="7">
        <v>388666.58799999999</v>
      </c>
      <c r="I26" s="7">
        <v>444568.54200000002</v>
      </c>
      <c r="J26" s="7">
        <v>1454483.1969999999</v>
      </c>
      <c r="K26" s="7">
        <v>462908.77571999998</v>
      </c>
      <c r="L26" s="7">
        <v>4232037.8764000004</v>
      </c>
      <c r="M26" s="7">
        <v>3156055.6003200002</v>
      </c>
      <c r="N26" s="7">
        <v>3228265.0606800001</v>
      </c>
      <c r="O26" s="7">
        <v>235315.25700000001</v>
      </c>
      <c r="P26" s="7">
        <v>513866.12199999997</v>
      </c>
      <c r="Q26" s="7">
        <v>268941.43281000003</v>
      </c>
      <c r="R26" s="7">
        <v>106034.686</v>
      </c>
      <c r="S26" s="7">
        <v>55330.3001</v>
      </c>
      <c r="T26" s="7">
        <v>232234.31946999999</v>
      </c>
      <c r="U26" s="7">
        <v>95332.637000000002</v>
      </c>
      <c r="V26" s="7">
        <v>132182.59914999999</v>
      </c>
      <c r="W26" s="7">
        <v>7314.2960000000003</v>
      </c>
      <c r="X26" s="7">
        <v>122055.92600000001</v>
      </c>
      <c r="Y26" s="7">
        <v>2812.3771499999998</v>
      </c>
      <c r="Z26" s="7">
        <v>1551360.17985</v>
      </c>
      <c r="AA26" s="7">
        <v>219394.72713000001</v>
      </c>
    </row>
    <row r="27" spans="1:27" ht="28" customHeight="1">
      <c r="A27" s="3" t="str">
        <f>TEXT(DATE(LEFT(B27,3)+1911, MID(B27,5,2), 1), "yyyy-mm")</f>
        <v>2020-02</v>
      </c>
      <c r="B27" s="4" t="s">
        <v>50</v>
      </c>
      <c r="C27" s="6">
        <v>20085772.829999998</v>
      </c>
      <c r="D27" s="7">
        <v>11549282.679409999</v>
      </c>
      <c r="E27" s="7">
        <v>425432.06900000002</v>
      </c>
      <c r="F27" s="7">
        <v>274928.80099999998</v>
      </c>
      <c r="G27" s="7">
        <v>2410447.6800000002</v>
      </c>
      <c r="H27" s="7">
        <v>422556.87599999999</v>
      </c>
      <c r="I27" s="7">
        <v>447814.12900000002</v>
      </c>
      <c r="J27" s="7">
        <v>1507095.1159999999</v>
      </c>
      <c r="K27" s="7">
        <v>506942.70620999997</v>
      </c>
      <c r="L27" s="7">
        <v>4103400.2410800001</v>
      </c>
      <c r="M27" s="7">
        <v>3484946.7507000002</v>
      </c>
      <c r="N27" s="7">
        <v>3187123.8219699999</v>
      </c>
      <c r="O27" s="7">
        <v>227127.098</v>
      </c>
      <c r="P27" s="7">
        <v>522809.929</v>
      </c>
      <c r="Q27" s="7">
        <v>273334.10596000002</v>
      </c>
      <c r="R27" s="7">
        <v>103039.996</v>
      </c>
      <c r="S27" s="7">
        <v>51372.921929999997</v>
      </c>
      <c r="T27" s="7">
        <v>226495.96119999999</v>
      </c>
      <c r="U27" s="7">
        <v>98366.392999999996</v>
      </c>
      <c r="V27" s="7">
        <v>119628.02301</v>
      </c>
      <c r="W27" s="7">
        <v>7388.07</v>
      </c>
      <c r="X27" s="7">
        <v>109853.2</v>
      </c>
      <c r="Y27" s="7">
        <v>2386.7530099999999</v>
      </c>
      <c r="Z27" s="7">
        <v>1493474.6599900001</v>
      </c>
      <c r="AA27" s="7">
        <v>251316.89491999999</v>
      </c>
    </row>
    <row r="28" spans="1:27" ht="28" customHeight="1">
      <c r="A28" s="3" t="str">
        <f>TEXT(DATE(LEFT(B28,3)+1911, MID(B28,5,2), 1), "yyyy-mm")</f>
        <v>2020-03</v>
      </c>
      <c r="B28" s="4" t="s">
        <v>51</v>
      </c>
      <c r="C28" s="6">
        <v>21298531.779589999</v>
      </c>
      <c r="D28" s="7">
        <v>12429784.28132</v>
      </c>
      <c r="E28" s="7">
        <v>460718.83199999999</v>
      </c>
      <c r="F28" s="7">
        <v>313972.37599999999</v>
      </c>
      <c r="G28" s="7">
        <v>2499940.554</v>
      </c>
      <c r="H28" s="7">
        <v>444059.01400000002</v>
      </c>
      <c r="I28" s="7">
        <v>490032.679</v>
      </c>
      <c r="J28" s="7">
        <v>1619076.6170000001</v>
      </c>
      <c r="K28" s="7">
        <v>563494.04831999994</v>
      </c>
      <c r="L28" s="7">
        <v>4478231.4147300003</v>
      </c>
      <c r="M28" s="7">
        <v>3596554.0842499998</v>
      </c>
      <c r="N28" s="7">
        <v>3293301.07229</v>
      </c>
      <c r="O28" s="7">
        <v>242882.51699999999</v>
      </c>
      <c r="P28" s="7">
        <v>495564.47600000002</v>
      </c>
      <c r="Q28" s="7">
        <v>276329.31932000001</v>
      </c>
      <c r="R28" s="7">
        <v>111584.552</v>
      </c>
      <c r="S28" s="7">
        <v>55914.81869</v>
      </c>
      <c r="T28" s="7">
        <v>249190.88227999999</v>
      </c>
      <c r="U28" s="7">
        <v>97005.865000000005</v>
      </c>
      <c r="V28" s="7">
        <v>129107.63222</v>
      </c>
      <c r="W28" s="7">
        <v>7964.0219999999999</v>
      </c>
      <c r="X28" s="7">
        <v>119129.06299999999</v>
      </c>
      <c r="Y28" s="7">
        <v>2014.5472199999999</v>
      </c>
      <c r="Z28" s="7">
        <v>1620981.03838</v>
      </c>
      <c r="AA28" s="7">
        <v>228803.67113</v>
      </c>
    </row>
    <row r="29" spans="1:27" ht="28" customHeight="1">
      <c r="A29" s="3" t="str">
        <f>TEXT(DATE(LEFT(B29,3)+1911, MID(B29,5,2), 1), "yyyy-mm")</f>
        <v>2020-04</v>
      </c>
      <c r="B29" s="4" t="s">
        <v>52</v>
      </c>
      <c r="C29" s="6">
        <v>20359060.355999999</v>
      </c>
      <c r="D29" s="7">
        <v>11802214.68722</v>
      </c>
      <c r="E29" s="7">
        <v>344883.84399999998</v>
      </c>
      <c r="F29" s="7">
        <v>305410.75</v>
      </c>
      <c r="G29" s="7">
        <v>2377810.977</v>
      </c>
      <c r="H29" s="7">
        <v>429528.79599999997</v>
      </c>
      <c r="I29" s="7">
        <v>464200.47700000001</v>
      </c>
      <c r="J29" s="7">
        <v>1499062.28</v>
      </c>
      <c r="K29" s="7">
        <v>538748.52815999999</v>
      </c>
      <c r="L29" s="7">
        <v>4354421.6829199996</v>
      </c>
      <c r="M29" s="7">
        <v>3349521.57253</v>
      </c>
      <c r="N29" s="7">
        <v>3270255.1855700002</v>
      </c>
      <c r="O29" s="7">
        <v>238167.18400000001</v>
      </c>
      <c r="P29" s="7">
        <v>494497.81400000001</v>
      </c>
      <c r="Q29" s="7">
        <v>274655.20442999998</v>
      </c>
      <c r="R29" s="7">
        <v>109138.58500000001</v>
      </c>
      <c r="S29" s="7">
        <v>52357.8482</v>
      </c>
      <c r="T29" s="7">
        <v>244503.78281</v>
      </c>
      <c r="U29" s="7">
        <v>96792.195000000007</v>
      </c>
      <c r="V29" s="7">
        <v>124868.55146</v>
      </c>
      <c r="W29" s="7">
        <v>8015.0370000000003</v>
      </c>
      <c r="X29" s="7">
        <v>114497.762</v>
      </c>
      <c r="Y29" s="7">
        <v>2355.7524600000002</v>
      </c>
      <c r="Z29" s="7">
        <v>1561732.4095399999</v>
      </c>
      <c r="AA29" s="7">
        <v>250467.94967999999</v>
      </c>
    </row>
    <row r="30" spans="1:27" ht="28" customHeight="1">
      <c r="A30" s="3" t="str">
        <f>TEXT(DATE(LEFT(B30,3)+1911, MID(B30,5,2), 1), "yyyy-mm")</f>
        <v>2020-05</v>
      </c>
      <c r="B30" s="4" t="s">
        <v>53</v>
      </c>
      <c r="C30" s="6">
        <v>21916106.096829999</v>
      </c>
      <c r="D30" s="7">
        <v>12542201.73502</v>
      </c>
      <c r="E30" s="7">
        <v>341486.26400000002</v>
      </c>
      <c r="F30" s="7">
        <v>305339.48499999999</v>
      </c>
      <c r="G30" s="7">
        <v>2590471.551</v>
      </c>
      <c r="H30" s="7">
        <v>435862.15700000001</v>
      </c>
      <c r="I30" s="7">
        <v>490801.95299999998</v>
      </c>
      <c r="J30" s="7">
        <v>1508743.159</v>
      </c>
      <c r="K30" s="7">
        <v>530436.32788999996</v>
      </c>
      <c r="L30" s="7">
        <v>4757244.1476100003</v>
      </c>
      <c r="M30" s="7">
        <v>3600445.9330899999</v>
      </c>
      <c r="N30" s="7">
        <v>3762745.9930699999</v>
      </c>
      <c r="O30" s="7">
        <v>282033.82299999997</v>
      </c>
      <c r="P30" s="7">
        <v>555370.83700000006</v>
      </c>
      <c r="Q30" s="7">
        <v>292984.87442000001</v>
      </c>
      <c r="R30" s="7">
        <v>129417.73699999999</v>
      </c>
      <c r="S30" s="7">
        <v>64207.102019999998</v>
      </c>
      <c r="T30" s="7">
        <v>298722.99953999999</v>
      </c>
      <c r="U30" s="7">
        <v>110767.503</v>
      </c>
      <c r="V30" s="7">
        <v>124551.66631</v>
      </c>
      <c r="W30" s="7">
        <v>8189.9750000000004</v>
      </c>
      <c r="X30" s="7">
        <v>113617.659</v>
      </c>
      <c r="Y30" s="7">
        <v>2744.0323100000001</v>
      </c>
      <c r="Z30" s="7">
        <v>1623137.2246900001</v>
      </c>
      <c r="AA30" s="7">
        <v>263023.54465</v>
      </c>
    </row>
    <row r="31" spans="1:27" ht="28" customHeight="1">
      <c r="A31" s="3" t="str">
        <f>TEXT(DATE(LEFT(B31,3)+1911, MID(B31,5,2), 1), "yyyy-mm")</f>
        <v>2020-06</v>
      </c>
      <c r="B31" s="4" t="s">
        <v>54</v>
      </c>
      <c r="C31" s="6">
        <v>22945986.458009999</v>
      </c>
      <c r="D31" s="7">
        <v>12587521.46651</v>
      </c>
      <c r="E31" s="7">
        <v>352694.766</v>
      </c>
      <c r="F31" s="7">
        <v>292031.27100000001</v>
      </c>
      <c r="G31" s="7">
        <v>2634269.1609999998</v>
      </c>
      <c r="H31" s="7">
        <v>443041.67499999999</v>
      </c>
      <c r="I31" s="7">
        <v>487679.31699999998</v>
      </c>
      <c r="J31" s="7">
        <v>1482004.5220000001</v>
      </c>
      <c r="K31" s="7">
        <v>529143.70563999994</v>
      </c>
      <c r="L31" s="7">
        <v>4722445.5356400004</v>
      </c>
      <c r="M31" s="7">
        <v>4238831.3131999997</v>
      </c>
      <c r="N31" s="7">
        <v>4083530.4249700001</v>
      </c>
      <c r="O31" s="7">
        <v>295070.337</v>
      </c>
      <c r="P31" s="7">
        <v>634250.24899999995</v>
      </c>
      <c r="Q31" s="7">
        <v>294683.59600000002</v>
      </c>
      <c r="R31" s="7">
        <v>141788.64000000001</v>
      </c>
      <c r="S31" s="7">
        <v>68075.653330000001</v>
      </c>
      <c r="T31" s="7">
        <v>324893.72230999998</v>
      </c>
      <c r="U31" s="7">
        <v>128287.78200000001</v>
      </c>
      <c r="V31" s="7">
        <v>132066.43140999999</v>
      </c>
      <c r="W31" s="7">
        <v>8317.5949999999993</v>
      </c>
      <c r="X31" s="7">
        <v>121247.09299999999</v>
      </c>
      <c r="Y31" s="7">
        <v>2501.74341</v>
      </c>
      <c r="Z31" s="7">
        <v>1618869.09659</v>
      </c>
      <c r="AA31" s="7">
        <v>285167.72532999999</v>
      </c>
    </row>
    <row r="32" spans="1:27" ht="28" customHeight="1">
      <c r="A32" s="3" t="str">
        <f>TEXT(DATE(LEFT(B32,3)+1911, MID(B32,5,2), 1), "yyyy-mm")</f>
        <v>2020-07</v>
      </c>
      <c r="B32" s="4" t="s">
        <v>55</v>
      </c>
      <c r="C32" s="6">
        <v>25442564.673969999</v>
      </c>
      <c r="D32" s="7">
        <v>13306413.7107</v>
      </c>
      <c r="E32" s="7">
        <v>399133.549</v>
      </c>
      <c r="F32" s="7">
        <v>316417.09299999999</v>
      </c>
      <c r="G32" s="7">
        <v>2724455.5010000002</v>
      </c>
      <c r="H32" s="7">
        <v>489968.18800000002</v>
      </c>
      <c r="I32" s="7">
        <v>493458.34100000001</v>
      </c>
      <c r="J32" s="7">
        <v>1448192.041</v>
      </c>
      <c r="K32" s="7">
        <v>590489.39226999995</v>
      </c>
      <c r="L32" s="7">
        <v>4994954.7756899996</v>
      </c>
      <c r="M32" s="7">
        <v>5243627.9762899997</v>
      </c>
      <c r="N32" s="7">
        <v>4663313.8893600004</v>
      </c>
      <c r="O32" s="7">
        <v>328275.011</v>
      </c>
      <c r="P32" s="7">
        <v>784718.21400000004</v>
      </c>
      <c r="Q32" s="7">
        <v>328420.36082</v>
      </c>
      <c r="R32" s="7">
        <v>167655.693</v>
      </c>
      <c r="S32" s="7">
        <v>82600.843680000005</v>
      </c>
      <c r="T32" s="7">
        <v>356758.24024000001</v>
      </c>
      <c r="U32" s="7">
        <v>154691.56599999999</v>
      </c>
      <c r="V32" s="7">
        <v>139389.96442</v>
      </c>
      <c r="W32" s="7">
        <v>8526.1470000000008</v>
      </c>
      <c r="X32" s="7">
        <v>128182.98299999999</v>
      </c>
      <c r="Y32" s="7">
        <v>2680.8344200000001</v>
      </c>
      <c r="Z32" s="7">
        <v>1757880.60158</v>
      </c>
      <c r="AA32" s="7">
        <v>331938.53162000002</v>
      </c>
    </row>
    <row r="33" spans="1:27" ht="28" customHeight="1">
      <c r="A33" s="3" t="str">
        <f>TEXT(DATE(LEFT(B33,3)+1911, MID(B33,5,2), 1), "yyyy-mm")</f>
        <v>2020-08</v>
      </c>
      <c r="B33" s="4" t="s">
        <v>56</v>
      </c>
      <c r="C33" s="6">
        <v>25231268.953430001</v>
      </c>
      <c r="D33" s="7">
        <v>13120368.27678</v>
      </c>
      <c r="E33" s="7">
        <v>408574.52500000002</v>
      </c>
      <c r="F33" s="7">
        <v>295875.505</v>
      </c>
      <c r="G33" s="7">
        <v>2613252.7429999998</v>
      </c>
      <c r="H33" s="7">
        <v>480360.41499999998</v>
      </c>
      <c r="I33" s="7">
        <v>494966.44900000002</v>
      </c>
      <c r="J33" s="7">
        <v>1508167.324</v>
      </c>
      <c r="K33" s="7">
        <v>575710.41957999999</v>
      </c>
      <c r="L33" s="7">
        <v>4976697.7578999996</v>
      </c>
      <c r="M33" s="7">
        <v>5522824.1847000001</v>
      </c>
      <c r="N33" s="7">
        <v>4375801.3856800003</v>
      </c>
      <c r="O33" s="7">
        <v>314483.375</v>
      </c>
      <c r="P33" s="7">
        <v>743002.75899999996</v>
      </c>
      <c r="Q33" s="7">
        <v>304079.21840999997</v>
      </c>
      <c r="R33" s="7">
        <v>153250.15100000001</v>
      </c>
      <c r="S33" s="7">
        <v>77131.722729999994</v>
      </c>
      <c r="T33" s="7">
        <v>343057.50166000001</v>
      </c>
      <c r="U33" s="7">
        <v>148619.58499999999</v>
      </c>
      <c r="V33" s="7">
        <v>140697.08035999999</v>
      </c>
      <c r="W33" s="7">
        <v>8750.2440000000006</v>
      </c>
      <c r="X33" s="7">
        <v>129184.845</v>
      </c>
      <c r="Y33" s="7">
        <v>2761.99136</v>
      </c>
      <c r="Z33" s="7">
        <v>1769315.65004</v>
      </c>
      <c r="AA33" s="7">
        <v>302262.37586999999</v>
      </c>
    </row>
    <row r="34" spans="1:27" ht="28" customHeight="1">
      <c r="A34" s="3" t="str">
        <f>TEXT(DATE(LEFT(B34,3)+1911, MID(B34,5,2), 1), "yyyy-mm")</f>
        <v>2020-09</v>
      </c>
      <c r="B34" s="4" t="s">
        <v>57</v>
      </c>
      <c r="C34" s="6">
        <v>25361004.256000001</v>
      </c>
      <c r="D34" s="7">
        <v>12977174.82518</v>
      </c>
      <c r="E34" s="7">
        <v>421583.14799999999</v>
      </c>
      <c r="F34" s="7">
        <v>297824.98</v>
      </c>
      <c r="G34" s="7">
        <v>2556894.659</v>
      </c>
      <c r="H34" s="7">
        <v>496419.31300000002</v>
      </c>
      <c r="I34" s="7">
        <v>473121.17300000001</v>
      </c>
      <c r="J34" s="7">
        <v>1488124.78</v>
      </c>
      <c r="K34" s="7">
        <v>608289.45079999999</v>
      </c>
      <c r="L34" s="7">
        <v>4821671.5966699999</v>
      </c>
      <c r="M34" s="7">
        <v>5606457.5286999997</v>
      </c>
      <c r="N34" s="7">
        <v>4630702.7543000001</v>
      </c>
      <c r="O34" s="7">
        <v>314333.68</v>
      </c>
      <c r="P34" s="7">
        <v>799538.23400000005</v>
      </c>
      <c r="Q34" s="7">
        <v>323035.11086000002</v>
      </c>
      <c r="R34" s="7">
        <v>162576.75599999999</v>
      </c>
      <c r="S34" s="7">
        <v>80401.972529999999</v>
      </c>
      <c r="T34" s="7">
        <v>329519.62608999998</v>
      </c>
      <c r="U34" s="7">
        <v>149976.96900000001</v>
      </c>
      <c r="V34" s="7">
        <v>136862.03727999999</v>
      </c>
      <c r="W34" s="7">
        <v>9117.9719999999998</v>
      </c>
      <c r="X34" s="7">
        <v>125143.9</v>
      </c>
      <c r="Y34" s="7">
        <v>2600.1652800000002</v>
      </c>
      <c r="Z34" s="7">
        <v>1684907.38372</v>
      </c>
      <c r="AA34" s="7">
        <v>324899.72681999998</v>
      </c>
    </row>
    <row r="35" spans="1:27" ht="28" customHeight="1">
      <c r="A35" s="3" t="str">
        <f>TEXT(DATE(LEFT(B35,3)+1911, MID(B35,5,2), 1), "yyyy-mm")</f>
        <v>2020-10</v>
      </c>
      <c r="B35" s="4" t="s">
        <v>58</v>
      </c>
      <c r="C35" s="6">
        <v>24049959.058019999</v>
      </c>
      <c r="D35" s="7">
        <v>13011970.5403</v>
      </c>
      <c r="E35" s="7">
        <v>408194.071</v>
      </c>
      <c r="F35" s="7">
        <v>312280.61</v>
      </c>
      <c r="G35" s="7">
        <v>2746709.0869999998</v>
      </c>
      <c r="H35" s="7">
        <v>465195.614</v>
      </c>
      <c r="I35" s="7">
        <v>487823.69</v>
      </c>
      <c r="J35" s="7">
        <v>1536028.882</v>
      </c>
      <c r="K35" s="7">
        <v>577043.25849000004</v>
      </c>
      <c r="L35" s="7">
        <v>4811702.7449099999</v>
      </c>
      <c r="M35" s="7">
        <v>4962034.3652600003</v>
      </c>
      <c r="N35" s="7">
        <v>4062145.3340099999</v>
      </c>
      <c r="O35" s="7">
        <v>285712.59999999998</v>
      </c>
      <c r="P35" s="7">
        <v>694231.902</v>
      </c>
      <c r="Q35" s="7">
        <v>295803.15746999998</v>
      </c>
      <c r="R35" s="7">
        <v>134825.14600000001</v>
      </c>
      <c r="S35" s="7">
        <v>68487.122959999993</v>
      </c>
      <c r="T35" s="7">
        <v>298654.45147000003</v>
      </c>
      <c r="U35" s="7">
        <v>133701.084</v>
      </c>
      <c r="V35" s="7">
        <v>136880.40340000001</v>
      </c>
      <c r="W35" s="7">
        <v>9237.393</v>
      </c>
      <c r="X35" s="7">
        <v>125048.41099999999</v>
      </c>
      <c r="Y35" s="7">
        <v>2594.5994000000001</v>
      </c>
      <c r="Z35" s="7">
        <v>1583862.0506</v>
      </c>
      <c r="AA35" s="7">
        <v>293066.36444999999</v>
      </c>
    </row>
    <row r="36" spans="1:27" ht="28" customHeight="1">
      <c r="A36" s="3" t="str">
        <f>TEXT(DATE(LEFT(B36,3)+1911, MID(B36,5,2), 1), "yyyy-mm")</f>
        <v>2020-11</v>
      </c>
      <c r="B36" s="4" t="s">
        <v>59</v>
      </c>
      <c r="C36" s="6">
        <v>22640894.805009998</v>
      </c>
      <c r="D36" s="7">
        <v>12773048.36403</v>
      </c>
      <c r="E36" s="7">
        <v>405765.99300000002</v>
      </c>
      <c r="F36" s="7">
        <v>308945.39299999998</v>
      </c>
      <c r="G36" s="7">
        <v>2664490.1830000002</v>
      </c>
      <c r="H36" s="7">
        <v>467903.65399999998</v>
      </c>
      <c r="I36" s="7">
        <v>477287.73599999998</v>
      </c>
      <c r="J36" s="7">
        <v>1549111.5859999999</v>
      </c>
      <c r="K36" s="7">
        <v>582827.24143000005</v>
      </c>
      <c r="L36" s="7">
        <v>4680023.7730900003</v>
      </c>
      <c r="M36" s="7">
        <v>4108157.1023400002</v>
      </c>
      <c r="N36" s="7">
        <v>3851729.2429499999</v>
      </c>
      <c r="O36" s="7">
        <v>264670.84499999997</v>
      </c>
      <c r="P36" s="7">
        <v>635409.08799999999</v>
      </c>
      <c r="Q36" s="7">
        <v>294386.9178</v>
      </c>
      <c r="R36" s="7">
        <v>130002.54700000001</v>
      </c>
      <c r="S36" s="7">
        <v>65235.495419999999</v>
      </c>
      <c r="T36" s="7">
        <v>272574.53761</v>
      </c>
      <c r="U36" s="7">
        <v>122328.96000000001</v>
      </c>
      <c r="V36" s="7">
        <v>131907.90737</v>
      </c>
      <c r="W36" s="7">
        <v>9392.5759999999991</v>
      </c>
      <c r="X36" s="7">
        <v>119901.299</v>
      </c>
      <c r="Y36" s="7">
        <v>2614.0323699999999</v>
      </c>
      <c r="Z36" s="7">
        <v>1503350.2546300001</v>
      </c>
      <c r="AA36" s="7">
        <v>272701.93368999998</v>
      </c>
    </row>
    <row r="37" spans="1:27" ht="28" customHeight="1">
      <c r="A37" s="3" t="str">
        <f>TEXT(DATE(LEFT(B37,3)+1911, MID(B37,5,2), 1), "yyyy-mm")</f>
        <v>2020-12</v>
      </c>
      <c r="B37" s="4" t="s">
        <v>60</v>
      </c>
      <c r="C37" s="6">
        <v>21922497.257010002</v>
      </c>
      <c r="D37" s="7">
        <v>13081030.321280001</v>
      </c>
      <c r="E37" s="7">
        <v>416483.212</v>
      </c>
      <c r="F37" s="7">
        <v>320658.505</v>
      </c>
      <c r="G37" s="7">
        <v>2716897.4369999999</v>
      </c>
      <c r="H37" s="7">
        <v>476598.13099999999</v>
      </c>
      <c r="I37" s="7">
        <v>504096.35600000003</v>
      </c>
      <c r="J37" s="7">
        <v>1643088.871</v>
      </c>
      <c r="K37" s="7">
        <v>612573.10684999998</v>
      </c>
      <c r="L37" s="7">
        <v>4741524.3268299997</v>
      </c>
      <c r="M37" s="7">
        <v>3211394.6655000001</v>
      </c>
      <c r="N37" s="7">
        <v>3709116.3827300002</v>
      </c>
      <c r="O37" s="7">
        <v>253069.274</v>
      </c>
      <c r="P37" s="7">
        <v>614454.95499999996</v>
      </c>
      <c r="Q37" s="7">
        <v>292488.62757999997</v>
      </c>
      <c r="R37" s="7">
        <v>123288.863</v>
      </c>
      <c r="S37" s="7">
        <v>62750.543709999998</v>
      </c>
      <c r="T37" s="7">
        <v>254202.72975</v>
      </c>
      <c r="U37" s="7">
        <v>113638.254</v>
      </c>
      <c r="V37" s="7">
        <v>132422.16265000001</v>
      </c>
      <c r="W37" s="7">
        <v>10061.074000000001</v>
      </c>
      <c r="X37" s="7">
        <v>119529.242</v>
      </c>
      <c r="Y37" s="7">
        <v>2831.84665</v>
      </c>
      <c r="Z37" s="7">
        <v>1537147.9503500001</v>
      </c>
      <c r="AA37" s="7">
        <v>251385.7745</v>
      </c>
    </row>
    <row r="38" spans="1:27" ht="28" customHeight="1">
      <c r="A38" s="3" t="str">
        <f>TEXT(DATE(LEFT(B38,3)+1911, MID(B38,5,2), 1), "yyyy-mm")</f>
        <v>2021-01</v>
      </c>
      <c r="B38" s="4" t="s">
        <v>61</v>
      </c>
      <c r="C38" s="6">
        <v>21607600.69585</v>
      </c>
      <c r="D38" s="7">
        <v>12815664.892270001</v>
      </c>
      <c r="E38" s="7">
        <v>422191.28600000002</v>
      </c>
      <c r="F38" s="7">
        <v>309073.67599999998</v>
      </c>
      <c r="G38" s="7">
        <v>2780085.1540000001</v>
      </c>
      <c r="H38" s="7">
        <v>468987.97600000002</v>
      </c>
      <c r="I38" s="7">
        <v>501908.46799999999</v>
      </c>
      <c r="J38" s="7">
        <v>1650089.7609999999</v>
      </c>
      <c r="K38" s="7">
        <v>604102.00170999998</v>
      </c>
      <c r="L38" s="7">
        <v>4494081.5195000004</v>
      </c>
      <c r="M38" s="7">
        <v>3526160.4926200002</v>
      </c>
      <c r="N38" s="7">
        <v>3396382.96373</v>
      </c>
      <c r="O38" s="7">
        <v>235478.99799999999</v>
      </c>
      <c r="P38" s="7">
        <v>540607.99399999995</v>
      </c>
      <c r="Q38" s="7">
        <v>290238.65470000001</v>
      </c>
      <c r="R38" s="7">
        <v>108763.905</v>
      </c>
      <c r="S38" s="7">
        <v>56189.147060000003</v>
      </c>
      <c r="T38" s="7">
        <v>233934.84737999999</v>
      </c>
      <c r="U38" s="7">
        <v>103231.143</v>
      </c>
      <c r="V38" s="7">
        <v>131925.62836</v>
      </c>
      <c r="W38" s="7">
        <v>10070.718999999999</v>
      </c>
      <c r="X38" s="7">
        <v>119246.315</v>
      </c>
      <c r="Y38" s="7">
        <v>2608.5943600000001</v>
      </c>
      <c r="Z38" s="7">
        <v>1491366.1584600001</v>
      </c>
      <c r="AA38" s="7">
        <v>246100.56041000001</v>
      </c>
    </row>
    <row r="39" spans="1:27" ht="28" customHeight="1">
      <c r="A39" s="3" t="str">
        <f>TEXT(DATE(LEFT(B39,3)+1911, MID(B39,5,2), 1), "yyyy-mm")</f>
        <v>2021-02</v>
      </c>
      <c r="B39" s="4" t="s">
        <v>62</v>
      </c>
      <c r="C39" s="6">
        <v>19576618.614920001</v>
      </c>
      <c r="D39" s="7">
        <v>11265255.69135</v>
      </c>
      <c r="E39" s="7">
        <v>343827.36900000001</v>
      </c>
      <c r="F39" s="7">
        <v>265004.49</v>
      </c>
      <c r="G39" s="7">
        <v>2472404.1839999999</v>
      </c>
      <c r="H39" s="7">
        <v>387435.20400000003</v>
      </c>
      <c r="I39" s="7">
        <v>398099.43099999998</v>
      </c>
      <c r="J39" s="7">
        <v>1401893.9790000001</v>
      </c>
      <c r="K39" s="7">
        <v>487146.28733000002</v>
      </c>
      <c r="L39" s="7">
        <v>4181902.8858099999</v>
      </c>
      <c r="M39" s="7">
        <v>3599355.45309</v>
      </c>
      <c r="N39" s="7">
        <v>2998605.4791299999</v>
      </c>
      <c r="O39" s="7">
        <v>214324.46900000001</v>
      </c>
      <c r="P39" s="7">
        <v>484274.34700000001</v>
      </c>
      <c r="Q39" s="7">
        <v>263882.66165000002</v>
      </c>
      <c r="R39" s="7">
        <v>92387.194000000003</v>
      </c>
      <c r="S39" s="7">
        <v>48065.007599999997</v>
      </c>
      <c r="T39" s="7">
        <v>213856.10274</v>
      </c>
      <c r="U39" s="7">
        <v>94318.28</v>
      </c>
      <c r="V39" s="7">
        <v>124264.42992</v>
      </c>
      <c r="W39" s="7">
        <v>9923.402</v>
      </c>
      <c r="X39" s="7">
        <v>111831.045</v>
      </c>
      <c r="Y39" s="7">
        <v>2509.9829199999999</v>
      </c>
      <c r="Z39" s="7">
        <v>1356334.064</v>
      </c>
      <c r="AA39" s="7">
        <v>232803.49742999999</v>
      </c>
    </row>
    <row r="40" spans="1:27" ht="28" customHeight="1">
      <c r="A40" s="3" t="str">
        <f>TEXT(DATE(LEFT(B40,3)+1911, MID(B40,5,2), 1), "yyyy-mm")</f>
        <v>2021-03</v>
      </c>
      <c r="B40" s="4" t="s">
        <v>63</v>
      </c>
      <c r="C40" s="6">
        <v>22567342.640190002</v>
      </c>
      <c r="D40" s="7">
        <v>13330912.80847</v>
      </c>
      <c r="E40" s="7">
        <v>436028.37900000002</v>
      </c>
      <c r="F40" s="7">
        <v>319948.15000000002</v>
      </c>
      <c r="G40" s="7">
        <v>2758523.585</v>
      </c>
      <c r="H40" s="7">
        <v>506372.31699999998</v>
      </c>
      <c r="I40" s="7">
        <v>489224.78100000002</v>
      </c>
      <c r="J40" s="7">
        <v>1688862.23</v>
      </c>
      <c r="K40" s="7">
        <v>628898.63411999994</v>
      </c>
      <c r="L40" s="7">
        <v>4794309.3060699999</v>
      </c>
      <c r="M40" s="7">
        <v>3766586.2079599998</v>
      </c>
      <c r="N40" s="7">
        <v>3541644.9028500002</v>
      </c>
      <c r="O40" s="7">
        <v>248797.62299999999</v>
      </c>
      <c r="P40" s="7">
        <v>560037.65800000005</v>
      </c>
      <c r="Q40" s="7">
        <v>308582.70477999997</v>
      </c>
      <c r="R40" s="7">
        <v>110878.503</v>
      </c>
      <c r="S40" s="7">
        <v>57050.349829999999</v>
      </c>
      <c r="T40" s="7">
        <v>256451.86950999999</v>
      </c>
      <c r="U40" s="7">
        <v>111091.28200000001</v>
      </c>
      <c r="V40" s="7">
        <v>136424.71231999999</v>
      </c>
      <c r="W40" s="7">
        <v>10509.581</v>
      </c>
      <c r="X40" s="7">
        <v>123136.125</v>
      </c>
      <c r="Y40" s="7">
        <v>2779.00632</v>
      </c>
      <c r="Z40" s="7">
        <v>1527707.22487</v>
      </c>
      <c r="AA40" s="7">
        <v>264066.78372000001</v>
      </c>
    </row>
    <row r="41" spans="1:27" ht="28" customHeight="1">
      <c r="A41" s="3" t="str">
        <f>TEXT(DATE(LEFT(B41,3)+1911, MID(B41,5,2), 1), "yyyy-mm")</f>
        <v>2021-04</v>
      </c>
      <c r="B41" s="4" t="s">
        <v>64</v>
      </c>
      <c r="C41" s="6">
        <v>21861495.03867</v>
      </c>
      <c r="D41" s="7">
        <v>12939855.63345</v>
      </c>
      <c r="E41" s="7">
        <v>425513.07400000002</v>
      </c>
      <c r="F41" s="7">
        <v>294259.82199999999</v>
      </c>
      <c r="G41" s="7">
        <v>2729072.8309999998</v>
      </c>
      <c r="H41" s="7">
        <v>477386.44199999998</v>
      </c>
      <c r="I41" s="7">
        <v>479370.734</v>
      </c>
      <c r="J41" s="7">
        <v>1627175.93</v>
      </c>
      <c r="K41" s="7">
        <v>617174.98653999995</v>
      </c>
      <c r="L41" s="7">
        <v>4683808.86962</v>
      </c>
      <c r="M41" s="7">
        <v>3522039.2054699999</v>
      </c>
      <c r="N41" s="7">
        <v>3483670.05302</v>
      </c>
      <c r="O41" s="7">
        <v>253298.79300000001</v>
      </c>
      <c r="P41" s="7">
        <v>552103.65800000005</v>
      </c>
      <c r="Q41" s="7">
        <v>290954.68602000002</v>
      </c>
      <c r="R41" s="7">
        <v>107688.758</v>
      </c>
      <c r="S41" s="7">
        <v>55062.422039999998</v>
      </c>
      <c r="T41" s="7">
        <v>259893.41857000001</v>
      </c>
      <c r="U41" s="7">
        <v>112443.41099999999</v>
      </c>
      <c r="V41" s="7">
        <v>135415.90171999999</v>
      </c>
      <c r="W41" s="7">
        <v>10652.9</v>
      </c>
      <c r="X41" s="7">
        <v>122194.639</v>
      </c>
      <c r="Y41" s="7">
        <v>2568.3627200000001</v>
      </c>
      <c r="Z41" s="7">
        <v>1525521.73495</v>
      </c>
      <c r="AA41" s="7">
        <v>254992.51006</v>
      </c>
    </row>
    <row r="42" spans="1:27" ht="28" customHeight="1">
      <c r="A42" s="3" t="str">
        <f>TEXT(DATE(LEFT(B42,3)+1911, MID(B42,5,2), 1), "yyyy-mm")</f>
        <v>2021-05</v>
      </c>
      <c r="B42" s="4" t="s">
        <v>65</v>
      </c>
      <c r="C42" s="6">
        <v>23563701.13518</v>
      </c>
      <c r="D42" s="7">
        <v>13950764.82271</v>
      </c>
      <c r="E42" s="7">
        <v>467724.484</v>
      </c>
      <c r="F42" s="7">
        <v>320474.42099999997</v>
      </c>
      <c r="G42" s="7">
        <v>2862954.952</v>
      </c>
      <c r="H42" s="7">
        <v>504238.25099999999</v>
      </c>
      <c r="I42" s="7">
        <v>509413.10499999998</v>
      </c>
      <c r="J42" s="7">
        <v>1713873.561</v>
      </c>
      <c r="K42" s="7">
        <v>657729.35513000004</v>
      </c>
      <c r="L42" s="7">
        <v>5201758.801</v>
      </c>
      <c r="M42" s="7">
        <v>3559758.4450400001</v>
      </c>
      <c r="N42" s="7">
        <v>3915749.4611599999</v>
      </c>
      <c r="O42" s="7">
        <v>293911.049</v>
      </c>
      <c r="P42" s="7">
        <v>606854.64500000002</v>
      </c>
      <c r="Q42" s="7">
        <v>319649.11924999999</v>
      </c>
      <c r="R42" s="7">
        <v>128608.9</v>
      </c>
      <c r="S42" s="7">
        <v>63306.290970000002</v>
      </c>
      <c r="T42" s="7">
        <v>311901.2635</v>
      </c>
      <c r="U42" s="7">
        <v>115415.454</v>
      </c>
      <c r="V42" s="7">
        <v>131352.17744</v>
      </c>
      <c r="W42" s="7">
        <v>10948.227999999999</v>
      </c>
      <c r="X42" s="7">
        <v>117739.084</v>
      </c>
      <c r="Y42" s="7">
        <v>2664.86544</v>
      </c>
      <c r="Z42" s="7">
        <v>1727974.1617399999</v>
      </c>
      <c r="AA42" s="7">
        <v>278102.06709000003</v>
      </c>
    </row>
    <row r="43" spans="1:27" ht="28" customHeight="1">
      <c r="A43" s="3" t="str">
        <f>TEXT(DATE(LEFT(B43,3)+1911, MID(B43,5,2), 1), "yyyy-mm")</f>
        <v>2021-06</v>
      </c>
      <c r="B43" s="4" t="s">
        <v>66</v>
      </c>
      <c r="C43" s="6">
        <v>24006022.880770002</v>
      </c>
      <c r="D43" s="7">
        <v>13794678.80005</v>
      </c>
      <c r="E43" s="7">
        <v>449118.00699999998</v>
      </c>
      <c r="F43" s="7">
        <v>313970.022</v>
      </c>
      <c r="G43" s="7">
        <v>2857189.4449999998</v>
      </c>
      <c r="H43" s="7">
        <v>496751.62099999998</v>
      </c>
      <c r="I43" s="7">
        <v>484667.80342000001</v>
      </c>
      <c r="J43" s="7">
        <v>1672395.82</v>
      </c>
      <c r="K43" s="7">
        <v>661918.91351999994</v>
      </c>
      <c r="L43" s="7">
        <v>5146990.6124999998</v>
      </c>
      <c r="M43" s="7">
        <v>4389408.0039400002</v>
      </c>
      <c r="N43" s="7">
        <v>3757482.62054</v>
      </c>
      <c r="O43" s="7">
        <v>294113.50400000002</v>
      </c>
      <c r="P43" s="7">
        <v>545716.47</v>
      </c>
      <c r="Q43" s="7">
        <v>306841.93651000003</v>
      </c>
      <c r="R43" s="7">
        <v>129911.875</v>
      </c>
      <c r="S43" s="7">
        <v>58916.040209999999</v>
      </c>
      <c r="T43" s="7">
        <v>312840.2561</v>
      </c>
      <c r="U43" s="7">
        <v>84252.68</v>
      </c>
      <c r="V43" s="7">
        <v>107007.19095</v>
      </c>
      <c r="W43" s="7">
        <v>10600.321</v>
      </c>
      <c r="X43" s="7">
        <v>94009.967999999993</v>
      </c>
      <c r="Y43" s="7">
        <v>2396.9019499999999</v>
      </c>
      <c r="Z43" s="7">
        <v>1662607.7048200001</v>
      </c>
      <c r="AA43" s="7">
        <v>294838.56047000003</v>
      </c>
    </row>
    <row r="44" spans="1:27" ht="28" customHeight="1">
      <c r="A44" s="3" t="str">
        <f>TEXT(DATE(LEFT(B44,3)+1911, MID(B44,5,2), 1), "yyyy-mm")</f>
        <v>2021-07</v>
      </c>
      <c r="B44" s="4" t="s">
        <v>67</v>
      </c>
      <c r="C44" s="6">
        <v>25657646.88916</v>
      </c>
      <c r="D44" s="7">
        <v>14431784.741599999</v>
      </c>
      <c r="E44" s="7">
        <v>470703.52399999998</v>
      </c>
      <c r="F44" s="7">
        <v>325013.28200000001</v>
      </c>
      <c r="G44" s="7">
        <v>2964458.4049999998</v>
      </c>
      <c r="H44" s="7">
        <v>519142.45</v>
      </c>
      <c r="I44" s="7">
        <v>511225.19877999998</v>
      </c>
      <c r="J44" s="7">
        <v>1689032.139</v>
      </c>
      <c r="K44" s="7">
        <v>687923.25716000004</v>
      </c>
      <c r="L44" s="7">
        <v>5440005.3279400002</v>
      </c>
      <c r="M44" s="7">
        <v>5153130.0856499998</v>
      </c>
      <c r="N44" s="7">
        <v>3957070.9265899998</v>
      </c>
      <c r="O44" s="7">
        <v>318532.19400000002</v>
      </c>
      <c r="P44" s="7">
        <v>549462.32400000002</v>
      </c>
      <c r="Q44" s="7">
        <v>331173.23108</v>
      </c>
      <c r="R44" s="7">
        <v>144629.20300000001</v>
      </c>
      <c r="S44" s="7">
        <v>68590.725640000004</v>
      </c>
      <c r="T44" s="7">
        <v>339491.64578999998</v>
      </c>
      <c r="U44" s="7">
        <v>79448.338000000003</v>
      </c>
      <c r="V44" s="7">
        <v>112832.32848</v>
      </c>
      <c r="W44" s="7">
        <v>10830.215</v>
      </c>
      <c r="X44" s="7">
        <v>99562.566999999995</v>
      </c>
      <c r="Y44" s="7">
        <v>2439.54648</v>
      </c>
      <c r="Z44" s="7">
        <v>1713979.5386699999</v>
      </c>
      <c r="AA44" s="7">
        <v>288849.26817</v>
      </c>
    </row>
    <row r="45" spans="1:27" ht="28" customHeight="1">
      <c r="A45" s="3" t="str">
        <f>TEXT(DATE(LEFT(B45,3)+1911, MID(B45,5,2), 1), "yyyy-mm")</f>
        <v>2021-08</v>
      </c>
      <c r="B45" s="4" t="s">
        <v>68</v>
      </c>
      <c r="C45" s="6">
        <v>25698069.169829998</v>
      </c>
      <c r="D45" s="7">
        <v>14275161.246300001</v>
      </c>
      <c r="E45" s="7">
        <v>463842.04700000002</v>
      </c>
      <c r="F45" s="7">
        <v>320004.196</v>
      </c>
      <c r="G45" s="7">
        <v>2932736.6179999998</v>
      </c>
      <c r="H45" s="7">
        <v>506742.20400000003</v>
      </c>
      <c r="I45" s="7">
        <v>489191.37508000003</v>
      </c>
      <c r="J45" s="7">
        <v>1689525.5390000001</v>
      </c>
      <c r="K45" s="7">
        <v>686140.43241999997</v>
      </c>
      <c r="L45" s="7">
        <v>5409238.8449799996</v>
      </c>
      <c r="M45" s="7">
        <v>5313241.0031599998</v>
      </c>
      <c r="N45" s="7">
        <v>4016276.8731900002</v>
      </c>
      <c r="O45" s="7">
        <v>318975.94199999998</v>
      </c>
      <c r="P45" s="7">
        <v>574307.48600000003</v>
      </c>
      <c r="Q45" s="7">
        <v>331520.99515999999</v>
      </c>
      <c r="R45" s="7">
        <v>143562.26699999999</v>
      </c>
      <c r="S45" s="7">
        <v>69523.095799999996</v>
      </c>
      <c r="T45" s="7">
        <v>336634.94046000001</v>
      </c>
      <c r="U45" s="7">
        <v>89954.933999999994</v>
      </c>
      <c r="V45" s="7">
        <v>128066.204</v>
      </c>
      <c r="W45" s="7">
        <v>11316.928</v>
      </c>
      <c r="X45" s="7">
        <v>114282.98299999999</v>
      </c>
      <c r="Y45" s="7">
        <v>2466.2930000000001</v>
      </c>
      <c r="Z45" s="7">
        <v>1670840.14882</v>
      </c>
      <c r="AA45" s="7">
        <v>294483.69436000002</v>
      </c>
    </row>
    <row r="46" spans="1:27" ht="28" customHeight="1">
      <c r="A46" s="3" t="str">
        <f>TEXT(DATE(LEFT(B46,3)+1911, MID(B46,5,2), 1), "yyyy-mm")</f>
        <v>2021-09</v>
      </c>
      <c r="B46" s="4" t="s">
        <v>69</v>
      </c>
      <c r="C46" s="6">
        <v>25769077.771079998</v>
      </c>
      <c r="D46" s="7">
        <v>13813301.01998</v>
      </c>
      <c r="E46" s="7">
        <v>448593.23599999998</v>
      </c>
      <c r="F46" s="7">
        <v>308329.77500000002</v>
      </c>
      <c r="G46" s="7">
        <v>2740043.412</v>
      </c>
      <c r="H46" s="7">
        <v>486800.49699999997</v>
      </c>
      <c r="I46" s="7">
        <v>476047.10593000002</v>
      </c>
      <c r="J46" s="7">
        <v>1630018.1769999999</v>
      </c>
      <c r="K46" s="7">
        <v>671906.40376000002</v>
      </c>
      <c r="L46" s="7">
        <v>5274027.6044600001</v>
      </c>
      <c r="M46" s="7">
        <v>5503505.1044199998</v>
      </c>
      <c r="N46" s="7">
        <v>4391210.6181899998</v>
      </c>
      <c r="O46" s="7">
        <v>319070.364</v>
      </c>
      <c r="P46" s="7">
        <v>662525.76300000004</v>
      </c>
      <c r="Q46" s="7">
        <v>345382.51828999998</v>
      </c>
      <c r="R46" s="7">
        <v>152340.63500000001</v>
      </c>
      <c r="S46" s="7">
        <v>76076.720759999997</v>
      </c>
      <c r="T46" s="7">
        <v>335094.01646000001</v>
      </c>
      <c r="U46" s="7">
        <v>102948.183</v>
      </c>
      <c r="V46" s="7">
        <v>130792.95705</v>
      </c>
      <c r="W46" s="7">
        <v>11925.091</v>
      </c>
      <c r="X46" s="7">
        <v>116476.534</v>
      </c>
      <c r="Y46" s="7">
        <v>2391.33205</v>
      </c>
      <c r="Z46" s="7">
        <v>1626234.7140299999</v>
      </c>
      <c r="AA46" s="7">
        <v>304033.35741</v>
      </c>
    </row>
    <row r="47" spans="1:27" ht="28" customHeight="1">
      <c r="A47" s="3" t="str">
        <f>TEXT(DATE(LEFT(B47,3)+1911, MID(B47,5,2), 1), "yyyy-mm")</f>
        <v>2021-10</v>
      </c>
      <c r="B47" s="4" t="s">
        <v>70</v>
      </c>
      <c r="C47" s="6">
        <v>25938934.675129998</v>
      </c>
      <c r="D47" s="7">
        <v>14086159.144880001</v>
      </c>
      <c r="E47" s="7">
        <v>450321.33899999998</v>
      </c>
      <c r="F47" s="7">
        <v>318587.22600000002</v>
      </c>
      <c r="G47" s="7">
        <v>2884574.8659999999</v>
      </c>
      <c r="H47" s="7">
        <v>488735.87699999998</v>
      </c>
      <c r="I47" s="7">
        <v>491710.56423000002</v>
      </c>
      <c r="J47" s="7">
        <v>1708059.8219999999</v>
      </c>
      <c r="K47" s="7">
        <v>669776.42738999997</v>
      </c>
      <c r="L47" s="7">
        <v>5339875.3291300004</v>
      </c>
      <c r="M47" s="7">
        <v>5419271.6795300003</v>
      </c>
      <c r="N47" s="7">
        <v>4341482.9957600003</v>
      </c>
      <c r="O47" s="7">
        <v>312135.21000000002</v>
      </c>
      <c r="P47" s="7">
        <v>692210.95600000001</v>
      </c>
      <c r="Q47" s="7">
        <v>343606.19991999998</v>
      </c>
      <c r="R47" s="7">
        <v>140055.70800000001</v>
      </c>
      <c r="S47" s="7">
        <v>71818.437869999994</v>
      </c>
      <c r="T47" s="7">
        <v>318598.39714000002</v>
      </c>
      <c r="U47" s="7">
        <v>110307.55899999999</v>
      </c>
      <c r="V47" s="7">
        <v>132301.31354999999</v>
      </c>
      <c r="W47" s="7">
        <v>12181.246999999999</v>
      </c>
      <c r="X47" s="7">
        <v>117695.633</v>
      </c>
      <c r="Y47" s="7">
        <v>2424.4335500000002</v>
      </c>
      <c r="Z47" s="7">
        <v>1642522.7415799999</v>
      </c>
      <c r="AA47" s="7">
        <v>317196.79982999997</v>
      </c>
    </row>
    <row r="48" spans="1:27" ht="28" customHeight="1">
      <c r="A48" s="3" t="str">
        <f>TEXT(DATE(LEFT(B48,3)+1911, MID(B48,5,2), 1), "yyyy-mm")</f>
        <v>2021-11</v>
      </c>
      <c r="B48" s="4" t="s">
        <v>71</v>
      </c>
      <c r="C48" s="6">
        <v>24167058.119350001</v>
      </c>
      <c r="D48" s="7">
        <v>13392518.24784</v>
      </c>
      <c r="E48" s="7">
        <v>429858.36</v>
      </c>
      <c r="F48" s="7">
        <v>311829.27299999999</v>
      </c>
      <c r="G48" s="7">
        <v>2778121.781</v>
      </c>
      <c r="H48" s="7">
        <v>467157.565</v>
      </c>
      <c r="I48" s="7">
        <v>481615.92284000001</v>
      </c>
      <c r="J48" s="7">
        <v>1638540.571</v>
      </c>
      <c r="K48" s="7">
        <v>636861.41720999999</v>
      </c>
      <c r="L48" s="7">
        <v>5017648.9260499999</v>
      </c>
      <c r="M48" s="7">
        <v>4923093.6672099996</v>
      </c>
      <c r="N48" s="7">
        <v>3977918.0441700001</v>
      </c>
      <c r="O48" s="7">
        <v>272976.96600000001</v>
      </c>
      <c r="P48" s="7">
        <v>636316.68799999997</v>
      </c>
      <c r="Q48" s="7">
        <v>324594.46067</v>
      </c>
      <c r="R48" s="7">
        <v>128590.734</v>
      </c>
      <c r="S48" s="7">
        <v>66895.818419999996</v>
      </c>
      <c r="T48" s="7">
        <v>270181.51613</v>
      </c>
      <c r="U48" s="7">
        <v>108995.598</v>
      </c>
      <c r="V48" s="7">
        <v>129726.85537999999</v>
      </c>
      <c r="W48" s="7">
        <v>12603.877</v>
      </c>
      <c r="X48" s="7">
        <v>115016.09699999999</v>
      </c>
      <c r="Y48" s="7">
        <v>2106.8813799999998</v>
      </c>
      <c r="Z48" s="7">
        <v>1467960.99095</v>
      </c>
      <c r="AA48" s="7">
        <v>275840.3138</v>
      </c>
    </row>
    <row r="49" spans="1:27" ht="28" customHeight="1">
      <c r="A49" s="3" t="str">
        <f>TEXT(DATE(LEFT(B49,3)+1911, MID(B49,5,2), 1), "yyyy-mm")</f>
        <v>2021-12</v>
      </c>
      <c r="B49" s="4" t="s">
        <v>72</v>
      </c>
      <c r="C49" s="6">
        <v>22765361.4782</v>
      </c>
      <c r="D49" s="7">
        <v>13508039.524350001</v>
      </c>
      <c r="E49" s="7">
        <v>432674.48599999998</v>
      </c>
      <c r="F49" s="7">
        <v>314078.41100000002</v>
      </c>
      <c r="G49" s="7">
        <v>2789674.656</v>
      </c>
      <c r="H49" s="7">
        <v>466345.25400000002</v>
      </c>
      <c r="I49" s="7">
        <v>507958.37690999999</v>
      </c>
      <c r="J49" s="7">
        <v>1679361.781</v>
      </c>
      <c r="K49" s="7">
        <v>635663.87551000004</v>
      </c>
      <c r="L49" s="7">
        <v>5088908.3148999996</v>
      </c>
      <c r="M49" s="7">
        <v>3843362.5544400001</v>
      </c>
      <c r="N49" s="7">
        <v>3618519.3967400002</v>
      </c>
      <c r="O49" s="7">
        <v>255664.79199999999</v>
      </c>
      <c r="P49" s="7">
        <v>567185.06299999997</v>
      </c>
      <c r="Q49" s="7">
        <v>317675.42963999999</v>
      </c>
      <c r="R49" s="7">
        <v>111466.518</v>
      </c>
      <c r="S49" s="7">
        <v>57276.25619</v>
      </c>
      <c r="T49" s="7">
        <v>251450.80480000001</v>
      </c>
      <c r="U49" s="7">
        <v>106597.18399999999</v>
      </c>
      <c r="V49" s="7">
        <v>134085.42121999999</v>
      </c>
      <c r="W49" s="7">
        <v>13019.791999999999</v>
      </c>
      <c r="X49" s="7">
        <v>119004.29300000001</v>
      </c>
      <c r="Y49" s="7">
        <v>2061.3362200000001</v>
      </c>
      <c r="Z49" s="7">
        <v>1404619.52498</v>
      </c>
      <c r="AA49" s="7">
        <v>256735.05647000001</v>
      </c>
    </row>
    <row r="50" spans="1:27" ht="28" customHeight="1">
      <c r="A50" s="3" t="str">
        <f>TEXT(DATE(LEFT(B50,3)+1911, MID(B50,5,2), 1), "yyyy-mm")</f>
        <v>2022-01</v>
      </c>
      <c r="B50" s="4" t="s">
        <v>73</v>
      </c>
      <c r="C50" s="6">
        <v>21910523.64782</v>
      </c>
      <c r="D50" s="7">
        <v>13030019.833310001</v>
      </c>
      <c r="E50" s="7">
        <v>415212.04300000001</v>
      </c>
      <c r="F50" s="7">
        <v>301056.93300000002</v>
      </c>
      <c r="G50" s="7">
        <v>2677146.8450000002</v>
      </c>
      <c r="H50" s="7">
        <v>454736.21500000003</v>
      </c>
      <c r="I50" s="7">
        <v>484682.71799999999</v>
      </c>
      <c r="J50" s="7">
        <v>1582467.1259999999</v>
      </c>
      <c r="K50" s="7">
        <v>587207.94675</v>
      </c>
      <c r="L50" s="7">
        <v>4930304.9424999999</v>
      </c>
      <c r="M50" s="7">
        <v>3543733.9239099999</v>
      </c>
      <c r="N50" s="7">
        <v>3516978.9123999998</v>
      </c>
      <c r="O50" s="7">
        <v>249874.40100000001</v>
      </c>
      <c r="P50" s="7">
        <v>545683.04</v>
      </c>
      <c r="Q50" s="7">
        <v>322243.36966999999</v>
      </c>
      <c r="R50" s="7">
        <v>106552.257</v>
      </c>
      <c r="S50" s="7">
        <v>56053.790820000002</v>
      </c>
      <c r="T50" s="7">
        <v>240918.36033</v>
      </c>
      <c r="U50" s="7">
        <v>102828.129</v>
      </c>
      <c r="V50" s="7">
        <v>133468.71473000001</v>
      </c>
      <c r="W50" s="7">
        <v>13104.19</v>
      </c>
      <c r="X50" s="7">
        <v>118032.94899999999</v>
      </c>
      <c r="Y50" s="7">
        <v>2331.57573</v>
      </c>
      <c r="Z50" s="7">
        <v>1441962.0000799999</v>
      </c>
      <c r="AA50" s="7">
        <v>244360.26339000001</v>
      </c>
    </row>
    <row r="51" spans="1:27" ht="28" customHeight="1">
      <c r="A51" s="3" t="str">
        <f>TEXT(DATE(LEFT(B51,3)+1911, MID(B51,5,2), 1), "yyyy-mm")</f>
        <v>2022-02</v>
      </c>
      <c r="B51" s="4" t="s">
        <v>74</v>
      </c>
      <c r="C51" s="6">
        <v>20139364.186170001</v>
      </c>
      <c r="D51" s="7">
        <v>11535728.9233</v>
      </c>
      <c r="E51" s="7">
        <v>352424.54300000001</v>
      </c>
      <c r="F51" s="7">
        <v>259785.72399999999</v>
      </c>
      <c r="G51" s="7">
        <v>2366279.5249999999</v>
      </c>
      <c r="H51" s="7">
        <v>387128.55300000001</v>
      </c>
      <c r="I51" s="7">
        <v>398997.45438000001</v>
      </c>
      <c r="J51" s="7">
        <v>1409083.0430000001</v>
      </c>
      <c r="K51" s="7">
        <v>509758.47</v>
      </c>
      <c r="L51" s="7">
        <v>4492105.4054300003</v>
      </c>
      <c r="M51" s="7">
        <v>3724085.6553000002</v>
      </c>
      <c r="N51" s="7">
        <v>3159068.00856</v>
      </c>
      <c r="O51" s="7">
        <v>216723.64</v>
      </c>
      <c r="P51" s="7">
        <v>506462.46500000003</v>
      </c>
      <c r="Q51" s="7">
        <v>294600.13156000001</v>
      </c>
      <c r="R51" s="7">
        <v>89704.057000000001</v>
      </c>
      <c r="S51" s="7">
        <v>47490.898759999996</v>
      </c>
      <c r="T51" s="7">
        <v>212806.40377999999</v>
      </c>
      <c r="U51" s="7">
        <v>95802.966</v>
      </c>
      <c r="V51" s="7">
        <v>128596.76847</v>
      </c>
      <c r="W51" s="7">
        <v>13487.164000000001</v>
      </c>
      <c r="X51" s="7">
        <v>113178.43700000001</v>
      </c>
      <c r="Y51" s="7">
        <v>1931.1674700000001</v>
      </c>
      <c r="Z51" s="7">
        <v>1350610.51868</v>
      </c>
      <c r="AA51" s="7">
        <v>241274.31185999999</v>
      </c>
    </row>
    <row r="52" spans="1:27" ht="28" customHeight="1">
      <c r="A52" s="3" t="str">
        <f>TEXT(DATE(LEFT(B52,3)+1911, MID(B52,5,2), 1), "yyyy-mm")</f>
        <v>2022-03</v>
      </c>
      <c r="B52" s="4" t="s">
        <v>75</v>
      </c>
      <c r="C52" s="6">
        <v>22808923.846170001</v>
      </c>
      <c r="D52" s="7">
        <v>13304432.128830001</v>
      </c>
      <c r="E52" s="7">
        <v>435277.02399999998</v>
      </c>
      <c r="F52" s="7">
        <v>317147.00300000003</v>
      </c>
      <c r="G52" s="7">
        <v>2594154.5980000002</v>
      </c>
      <c r="H52" s="7">
        <v>486111.99400000001</v>
      </c>
      <c r="I52" s="7">
        <v>482175.61742999998</v>
      </c>
      <c r="J52" s="7">
        <v>1641047.7239999999</v>
      </c>
      <c r="K52" s="7">
        <v>624850.63905999996</v>
      </c>
      <c r="L52" s="7">
        <v>5068971.5288199997</v>
      </c>
      <c r="M52" s="7">
        <v>3990279.4073999999</v>
      </c>
      <c r="N52" s="7">
        <v>3618414.9351599999</v>
      </c>
      <c r="O52" s="7">
        <v>264807.35600000003</v>
      </c>
      <c r="P52" s="7">
        <v>545751.196</v>
      </c>
      <c r="Q52" s="7">
        <v>322271.06432</v>
      </c>
      <c r="R52" s="7">
        <v>107709.08</v>
      </c>
      <c r="S52" s="7">
        <v>57219.885159999998</v>
      </c>
      <c r="T52" s="7">
        <v>260262.38792000001</v>
      </c>
      <c r="U52" s="7">
        <v>108199.231</v>
      </c>
      <c r="V52" s="7">
        <v>132222.64053</v>
      </c>
      <c r="W52" s="7">
        <v>14339.727000000001</v>
      </c>
      <c r="X52" s="7">
        <v>115940.486</v>
      </c>
      <c r="Y52" s="7">
        <v>1942.4275299999999</v>
      </c>
      <c r="Z52" s="7">
        <v>1520195.73866</v>
      </c>
      <c r="AA52" s="7">
        <v>243378.99559000001</v>
      </c>
    </row>
    <row r="53" spans="1:27" ht="28" customHeight="1">
      <c r="A53" s="3" t="str">
        <f>TEXT(DATE(LEFT(B53,3)+1911, MID(B53,5,2), 1), "yyyy-mm")</f>
        <v>2022-04</v>
      </c>
      <c r="B53" s="4" t="s">
        <v>76</v>
      </c>
      <c r="C53" s="6">
        <v>21624774.642390002</v>
      </c>
      <c r="D53" s="7">
        <v>12977974.05807</v>
      </c>
      <c r="E53" s="7">
        <v>401229.24200000003</v>
      </c>
      <c r="F53" s="7">
        <v>289286.80099999998</v>
      </c>
      <c r="G53" s="7">
        <v>2576184.497</v>
      </c>
      <c r="H53" s="7">
        <v>453230.74599999998</v>
      </c>
      <c r="I53" s="7">
        <v>463000.31912</v>
      </c>
      <c r="J53" s="7">
        <v>1587163.203</v>
      </c>
      <c r="K53" s="7">
        <v>585460.57382000005</v>
      </c>
      <c r="L53" s="7">
        <v>5069553.7433200004</v>
      </c>
      <c r="M53" s="7">
        <v>3398198.6124999998</v>
      </c>
      <c r="N53" s="7">
        <v>3371646.9367200001</v>
      </c>
      <c r="O53" s="7">
        <v>250274.82</v>
      </c>
      <c r="P53" s="7">
        <v>498770.46</v>
      </c>
      <c r="Q53" s="7">
        <v>293116.27960000001</v>
      </c>
      <c r="R53" s="7">
        <v>99989.565000000002</v>
      </c>
      <c r="S53" s="7">
        <v>52299.418980000002</v>
      </c>
      <c r="T53" s="7">
        <v>260057.84755000001</v>
      </c>
      <c r="U53" s="7">
        <v>103612.55</v>
      </c>
      <c r="V53" s="7">
        <v>136561.70824000001</v>
      </c>
      <c r="W53" s="7">
        <v>14643.181</v>
      </c>
      <c r="X53" s="7">
        <v>119701.425</v>
      </c>
      <c r="Y53" s="7">
        <v>2217.1022400000002</v>
      </c>
      <c r="Z53" s="7">
        <v>1522489.38219</v>
      </c>
      <c r="AA53" s="7">
        <v>217903.94467</v>
      </c>
    </row>
    <row r="54" spans="1:27" ht="28" customHeight="1">
      <c r="A54" s="3" t="str">
        <f>TEXT(DATE(LEFT(B54,3)+1911, MID(B54,5,2), 1), "yyyy-mm")</f>
        <v>2022-05</v>
      </c>
      <c r="B54" s="4" t="s">
        <v>77</v>
      </c>
      <c r="C54" s="6">
        <v>22697425.288789999</v>
      </c>
      <c r="D54" s="7">
        <v>13659586.506480001</v>
      </c>
      <c r="E54" s="7">
        <v>406006.86599999998</v>
      </c>
      <c r="F54" s="7">
        <v>313931.81199999998</v>
      </c>
      <c r="G54" s="7">
        <v>2704837.29</v>
      </c>
      <c r="H54" s="7">
        <v>469930.16100000002</v>
      </c>
      <c r="I54" s="7">
        <v>492415.49472999998</v>
      </c>
      <c r="J54" s="7">
        <v>1657496.845</v>
      </c>
      <c r="K54" s="7">
        <v>604911.61757999996</v>
      </c>
      <c r="L54" s="7">
        <v>5357508.6060899999</v>
      </c>
      <c r="M54" s="7">
        <v>3299286.62959</v>
      </c>
      <c r="N54" s="7">
        <v>3705035.22217</v>
      </c>
      <c r="O54" s="7">
        <v>277897.91200000001</v>
      </c>
      <c r="P54" s="7">
        <v>548605.49899999995</v>
      </c>
      <c r="Q54" s="7">
        <v>320293.89126</v>
      </c>
      <c r="R54" s="7">
        <v>113557.28200000001</v>
      </c>
      <c r="S54" s="7">
        <v>58721.442920000001</v>
      </c>
      <c r="T54" s="7">
        <v>288110.2242</v>
      </c>
      <c r="U54" s="7">
        <v>111503.414</v>
      </c>
      <c r="V54" s="7">
        <v>134069.65747000001</v>
      </c>
      <c r="W54" s="7">
        <v>15399.449000000001</v>
      </c>
      <c r="X54" s="7">
        <v>116549.45</v>
      </c>
      <c r="Y54" s="7">
        <v>2120.7584700000002</v>
      </c>
      <c r="Z54" s="7">
        <v>1650429.50933</v>
      </c>
      <c r="AA54" s="7">
        <v>249017.76375000001</v>
      </c>
    </row>
    <row r="55" spans="1:27" ht="28" customHeight="1">
      <c r="A55" s="3" t="str">
        <f>TEXT(DATE(LEFT(B55,3)+1911, MID(B55,5,2), 1), "yyyy-mm")</f>
        <v>2022-06</v>
      </c>
      <c r="B55" s="4" t="s">
        <v>78</v>
      </c>
      <c r="C55" s="6">
        <v>23316339.49244</v>
      </c>
      <c r="D55" s="7">
        <v>13437201.35496</v>
      </c>
      <c r="E55" s="7">
        <v>408400.84415000002</v>
      </c>
      <c r="F55" s="7">
        <v>286125.11300000001</v>
      </c>
      <c r="G55" s="7">
        <v>2519350.1970000002</v>
      </c>
      <c r="H55" s="7">
        <v>466738.39199999999</v>
      </c>
      <c r="I55" s="7">
        <v>462904.85635999998</v>
      </c>
      <c r="J55" s="7">
        <v>1547291.2</v>
      </c>
      <c r="K55" s="7">
        <v>614010.08125000005</v>
      </c>
      <c r="L55" s="7">
        <v>5394390.3325699996</v>
      </c>
      <c r="M55" s="7">
        <v>3746063.29342</v>
      </c>
      <c r="N55" s="7">
        <v>4027350.4678799999</v>
      </c>
      <c r="O55" s="7">
        <v>303928.20799999998</v>
      </c>
      <c r="P55" s="7">
        <v>600951.68400000001</v>
      </c>
      <c r="Q55" s="7">
        <v>330221.20928000001</v>
      </c>
      <c r="R55" s="7">
        <v>125540.34</v>
      </c>
      <c r="S55" s="7">
        <v>64037.778189999997</v>
      </c>
      <c r="T55" s="7">
        <v>318300.95925999997</v>
      </c>
      <c r="U55" s="7">
        <v>125178.827</v>
      </c>
      <c r="V55" s="7">
        <v>133441.89835</v>
      </c>
      <c r="W55" s="7">
        <v>15340.157999999999</v>
      </c>
      <c r="X55" s="7">
        <v>115751.306</v>
      </c>
      <c r="Y55" s="7">
        <v>2350.43435</v>
      </c>
      <c r="Z55" s="7">
        <v>1699376.7371</v>
      </c>
      <c r="AA55" s="7">
        <v>272905.74073000002</v>
      </c>
    </row>
    <row r="56" spans="1:27" ht="28" customHeight="1">
      <c r="A56" s="3" t="str">
        <f>TEXT(DATE(LEFT(B56,3)+1911, MID(B56,5,2), 1), "yyyy-mm")</f>
        <v>2022-07</v>
      </c>
      <c r="B56" s="4" t="s">
        <v>79</v>
      </c>
      <c r="C56" s="6">
        <v>25382834.383230001</v>
      </c>
      <c r="D56" s="7">
        <v>13879260.908879999</v>
      </c>
      <c r="E56" s="7">
        <v>421417.38887000002</v>
      </c>
      <c r="F56" s="7">
        <v>293856.78700000001</v>
      </c>
      <c r="G56" s="7">
        <v>2599879.1519999998</v>
      </c>
      <c r="H56" s="7">
        <v>473019.97600000002</v>
      </c>
      <c r="I56" s="7">
        <v>484933.20792999998</v>
      </c>
      <c r="J56" s="7">
        <v>1522457.0560000001</v>
      </c>
      <c r="K56" s="7">
        <v>624595.57317999995</v>
      </c>
      <c r="L56" s="7">
        <v>5562331.5760899996</v>
      </c>
      <c r="M56" s="7">
        <v>4690832.1771</v>
      </c>
      <c r="N56" s="7">
        <v>4515496.5248199999</v>
      </c>
      <c r="O56" s="7">
        <v>337011.58199999999</v>
      </c>
      <c r="P56" s="7">
        <v>709662.326</v>
      </c>
      <c r="Q56" s="7">
        <v>349011.90328999999</v>
      </c>
      <c r="R56" s="7">
        <v>146659.38200000001</v>
      </c>
      <c r="S56" s="7">
        <v>70513.309590000004</v>
      </c>
      <c r="T56" s="7">
        <v>354230.44390999997</v>
      </c>
      <c r="U56" s="7">
        <v>139260.12899999999</v>
      </c>
      <c r="V56" s="7">
        <v>142854.29748000001</v>
      </c>
      <c r="W56" s="7">
        <v>15232.843999999999</v>
      </c>
      <c r="X56" s="7">
        <v>125279.476</v>
      </c>
      <c r="Y56" s="7">
        <v>2341.97748</v>
      </c>
      <c r="Z56" s="7">
        <v>1852778.26972</v>
      </c>
      <c r="AA56" s="7">
        <v>301612.20523000002</v>
      </c>
    </row>
    <row r="57" spans="1:27" ht="28" customHeight="1">
      <c r="A57" s="3" t="str">
        <f>TEXT(DATE(LEFT(B57,3)+1911, MID(B57,5,2), 1), "yyyy-mm")</f>
        <v>2022-08</v>
      </c>
      <c r="B57" s="4" t="s">
        <v>80</v>
      </c>
      <c r="C57" s="6">
        <v>25795322.501230001</v>
      </c>
      <c r="D57" s="7">
        <v>13614362.816819999</v>
      </c>
      <c r="E57" s="7">
        <v>425427.02347999997</v>
      </c>
      <c r="F57" s="7">
        <v>290149.93699999998</v>
      </c>
      <c r="G57" s="7">
        <v>2388271.9040000001</v>
      </c>
      <c r="H57" s="7">
        <v>470032.402</v>
      </c>
      <c r="I57" s="7">
        <v>478430.94812000002</v>
      </c>
      <c r="J57" s="7">
        <v>1458175.574</v>
      </c>
      <c r="K57" s="7">
        <v>618177.24661999999</v>
      </c>
      <c r="L57" s="7">
        <v>5577227.0641700001</v>
      </c>
      <c r="M57" s="7">
        <v>5313245.1509100003</v>
      </c>
      <c r="N57" s="7">
        <v>4626638.6225100001</v>
      </c>
      <c r="O57" s="7">
        <v>337408.076</v>
      </c>
      <c r="P57" s="7">
        <v>750913.79399999999</v>
      </c>
      <c r="Q57" s="7">
        <v>342930.08447</v>
      </c>
      <c r="R57" s="7">
        <v>149760.976</v>
      </c>
      <c r="S57" s="7">
        <v>72211.65294</v>
      </c>
      <c r="T57" s="7">
        <v>357309.88827</v>
      </c>
      <c r="U57" s="7">
        <v>145709.761</v>
      </c>
      <c r="V57" s="7">
        <v>148600.83838</v>
      </c>
      <c r="W57" s="7">
        <v>16009.689</v>
      </c>
      <c r="X57" s="7">
        <v>130414.803</v>
      </c>
      <c r="Y57" s="7">
        <v>2176.34638</v>
      </c>
      <c r="Z57" s="7">
        <v>1777395.4138499999</v>
      </c>
      <c r="AA57" s="7">
        <v>315079.65876000002</v>
      </c>
    </row>
    <row r="58" spans="1:27" ht="28" customHeight="1">
      <c r="A58" s="3" t="str">
        <f>TEXT(DATE(LEFT(B58,3)+1911, MID(B58,5,2), 1), "yyyy-mm")</f>
        <v>2022-09</v>
      </c>
      <c r="B58" s="4" t="s">
        <v>81</v>
      </c>
      <c r="C58" s="6">
        <v>26023490.180709999</v>
      </c>
      <c r="D58" s="7">
        <v>12962975.743519999</v>
      </c>
      <c r="E58" s="7">
        <v>394757.46198000002</v>
      </c>
      <c r="F58" s="7">
        <v>283479.49599999998</v>
      </c>
      <c r="G58" s="7">
        <v>2335258.0019999999</v>
      </c>
      <c r="H58" s="7">
        <v>445586.27299999999</v>
      </c>
      <c r="I58" s="7">
        <v>455578.49449000001</v>
      </c>
      <c r="J58" s="7">
        <v>1393571.429</v>
      </c>
      <c r="K58" s="7">
        <v>608046.45938000001</v>
      </c>
      <c r="L58" s="7">
        <v>5207532.1032600002</v>
      </c>
      <c r="M58" s="7">
        <v>6040837.9319099998</v>
      </c>
      <c r="N58" s="7">
        <v>4831934.9532500003</v>
      </c>
      <c r="O58" s="7">
        <v>327022.27600000001</v>
      </c>
      <c r="P58" s="7">
        <v>821904.83299999998</v>
      </c>
      <c r="Q58" s="7">
        <v>363289.63241999998</v>
      </c>
      <c r="R58" s="7">
        <v>153219.89499999999</v>
      </c>
      <c r="S58" s="7">
        <v>75277.717839999998</v>
      </c>
      <c r="T58" s="7">
        <v>332898.06159</v>
      </c>
      <c r="U58" s="7">
        <v>147637.16399999999</v>
      </c>
      <c r="V58" s="7">
        <v>144006.58609999999</v>
      </c>
      <c r="W58" s="7">
        <v>16700.231</v>
      </c>
      <c r="X58" s="7">
        <v>125185.87300000001</v>
      </c>
      <c r="Y58" s="7">
        <v>2120.4821000000002</v>
      </c>
      <c r="Z58" s="7">
        <v>1707481.3646199999</v>
      </c>
      <c r="AA58" s="7">
        <v>336253.60131</v>
      </c>
    </row>
    <row r="59" spans="1:27" ht="28" customHeight="1">
      <c r="A59" s="3" t="str">
        <f>TEXT(DATE(LEFT(B59,3)+1911, MID(B59,5,2), 1), "yyyy-mm")</f>
        <v>2022-10</v>
      </c>
      <c r="B59" s="4" t="s">
        <v>82</v>
      </c>
      <c r="C59" s="6">
        <v>24888374.48474</v>
      </c>
      <c r="D59" s="7">
        <v>13183065.527790001</v>
      </c>
      <c r="E59" s="7">
        <v>370738.98679</v>
      </c>
      <c r="F59" s="7">
        <v>303820.50300000003</v>
      </c>
      <c r="G59" s="7">
        <v>2548753.9550000001</v>
      </c>
      <c r="H59" s="7">
        <v>428199.087</v>
      </c>
      <c r="I59" s="7">
        <v>452968.35245000001</v>
      </c>
      <c r="J59" s="7">
        <v>1486703.9739999999</v>
      </c>
      <c r="K59" s="7">
        <v>579288.17125999997</v>
      </c>
      <c r="L59" s="7">
        <v>5274302.37053</v>
      </c>
      <c r="M59" s="7">
        <v>5343821.7257899996</v>
      </c>
      <c r="N59" s="7">
        <v>4351638.5696299998</v>
      </c>
      <c r="O59" s="7">
        <v>306689.57799999998</v>
      </c>
      <c r="P59" s="7">
        <v>726880.40800000005</v>
      </c>
      <c r="Q59" s="7">
        <v>336817.68663000001</v>
      </c>
      <c r="R59" s="7">
        <v>132910.071</v>
      </c>
      <c r="S59" s="7">
        <v>65586.040259999994</v>
      </c>
      <c r="T59" s="7">
        <v>308818.21714999998</v>
      </c>
      <c r="U59" s="7">
        <v>134600.02499999999</v>
      </c>
      <c r="V59" s="7">
        <v>140341.25177999999</v>
      </c>
      <c r="W59" s="7">
        <v>16894.510999999999</v>
      </c>
      <c r="X59" s="7">
        <v>121288.268</v>
      </c>
      <c r="Y59" s="7">
        <v>2158.4727800000001</v>
      </c>
      <c r="Z59" s="7">
        <v>1563351.69695</v>
      </c>
      <c r="AA59" s="7">
        <v>306155.71279999998</v>
      </c>
    </row>
    <row r="60" spans="1:27" ht="28" customHeight="1">
      <c r="A60" s="3" t="str">
        <f>TEXT(DATE(LEFT(B60,3)+1911, MID(B60,5,2), 1), "yyyy-mm")</f>
        <v>2022-11</v>
      </c>
      <c r="B60" s="4" t="s">
        <v>83</v>
      </c>
      <c r="C60" s="6">
        <v>22879676.8182</v>
      </c>
      <c r="D60" s="7">
        <v>12713114.31418</v>
      </c>
      <c r="E60" s="7">
        <v>349161.34236000001</v>
      </c>
      <c r="F60" s="7">
        <v>287254.902</v>
      </c>
      <c r="G60" s="7">
        <v>2446125.699</v>
      </c>
      <c r="H60" s="7">
        <v>420902.66100000002</v>
      </c>
      <c r="I60" s="7">
        <v>442514.58357000002</v>
      </c>
      <c r="J60" s="7">
        <v>1418756.79</v>
      </c>
      <c r="K60" s="7">
        <v>551242.49517000001</v>
      </c>
      <c r="L60" s="7">
        <v>5111722.0719299996</v>
      </c>
      <c r="M60" s="7">
        <v>4300294.2566600004</v>
      </c>
      <c r="N60" s="7">
        <v>4019924.5923100002</v>
      </c>
      <c r="O60" s="7">
        <v>279599.64</v>
      </c>
      <c r="P60" s="7">
        <v>640430.397</v>
      </c>
      <c r="Q60" s="7">
        <v>319202.05936000001</v>
      </c>
      <c r="R60" s="7">
        <v>124413.736</v>
      </c>
      <c r="S60" s="7">
        <v>61606.568670000001</v>
      </c>
      <c r="T60" s="7">
        <v>286780.37738000002</v>
      </c>
      <c r="U60" s="7">
        <v>118877.364</v>
      </c>
      <c r="V60" s="7">
        <v>140427.75865</v>
      </c>
      <c r="W60" s="7">
        <v>17394.823</v>
      </c>
      <c r="X60" s="7">
        <v>121124.8</v>
      </c>
      <c r="Y60" s="7">
        <v>1908.1356499999999</v>
      </c>
      <c r="Z60" s="7">
        <v>1437695.7485499999</v>
      </c>
      <c r="AA60" s="7">
        <v>268220.14785000001</v>
      </c>
    </row>
    <row r="61" spans="1:27" ht="28" customHeight="1">
      <c r="A61" s="3" t="str">
        <f>TEXT(DATE(LEFT(B61,3)+1911, MID(B61,5,2), 1), "yyyy-mm")</f>
        <v>2022-12</v>
      </c>
      <c r="B61" s="4" t="s">
        <v>84</v>
      </c>
      <c r="C61" s="6">
        <v>21561416.108720001</v>
      </c>
      <c r="D61" s="7">
        <v>12642101.177610001</v>
      </c>
      <c r="E61" s="7">
        <v>337909.30619999999</v>
      </c>
      <c r="F61" s="7">
        <v>299335.196</v>
      </c>
      <c r="G61" s="7">
        <v>2439565.4679999999</v>
      </c>
      <c r="H61" s="7">
        <v>420958.37099999998</v>
      </c>
      <c r="I61" s="7">
        <v>471414.14429000003</v>
      </c>
      <c r="J61" s="7">
        <v>1448494.1510000001</v>
      </c>
      <c r="K61" s="7">
        <v>546129.82825999998</v>
      </c>
      <c r="L61" s="7">
        <v>5061878.2556299996</v>
      </c>
      <c r="M61" s="7">
        <v>3396727.4979500002</v>
      </c>
      <c r="N61" s="7">
        <v>3668299.7466899999</v>
      </c>
      <c r="O61" s="7">
        <v>258611.87599999999</v>
      </c>
      <c r="P61" s="7">
        <v>607093.62</v>
      </c>
      <c r="Q61" s="7">
        <v>316113.37542</v>
      </c>
      <c r="R61" s="7">
        <v>110651.572</v>
      </c>
      <c r="S61" s="7">
        <v>53218.416940000003</v>
      </c>
      <c r="T61" s="7">
        <v>254893.08454000001</v>
      </c>
      <c r="U61" s="7">
        <v>111189.166</v>
      </c>
      <c r="V61" s="7">
        <v>143372.33158</v>
      </c>
      <c r="W61" s="7">
        <v>18720.101999999999</v>
      </c>
      <c r="X61" s="7">
        <v>122379.811</v>
      </c>
      <c r="Y61" s="7">
        <v>2272.41858</v>
      </c>
      <c r="Z61" s="7">
        <v>1444456.2871399999</v>
      </c>
      <c r="AA61" s="7">
        <v>266459.06774999999</v>
      </c>
    </row>
    <row r="62" spans="1:27" ht="28" customHeight="1">
      <c r="A62" s="3" t="str">
        <f>TEXT(DATE(LEFT(B62,3)+1911, MID(B62,5,2), 1), "yyyy-mm")</f>
        <v>2023-01</v>
      </c>
      <c r="B62" s="4" t="s">
        <v>85</v>
      </c>
      <c r="C62" s="6">
        <v>20888635.967379998</v>
      </c>
      <c r="D62" s="7">
        <v>11594263.427719999</v>
      </c>
      <c r="E62" s="7">
        <v>279291.09421000001</v>
      </c>
      <c r="F62" s="7">
        <v>250412.41200000001</v>
      </c>
      <c r="G62" s="7">
        <v>2250305.5189999999</v>
      </c>
      <c r="H62" s="7">
        <v>344868.85200000001</v>
      </c>
      <c r="I62" s="7">
        <v>410974.29874</v>
      </c>
      <c r="J62" s="7">
        <v>1290443.5519999999</v>
      </c>
      <c r="K62" s="7">
        <v>426741.02069999999</v>
      </c>
      <c r="L62" s="7">
        <v>4921283.6295600003</v>
      </c>
      <c r="M62" s="7">
        <v>3847514.6485799998</v>
      </c>
      <c r="N62" s="7">
        <v>3550822.7167199999</v>
      </c>
      <c r="O62" s="7">
        <v>246362.489</v>
      </c>
      <c r="P62" s="7">
        <v>575240.99199999997</v>
      </c>
      <c r="Q62" s="7">
        <v>320079.22876999999</v>
      </c>
      <c r="R62" s="7">
        <v>103271.12699999999</v>
      </c>
      <c r="S62" s="7">
        <v>51757.654069999997</v>
      </c>
      <c r="T62" s="7">
        <v>240500.94218000001</v>
      </c>
      <c r="U62" s="7">
        <v>102658.77899999999</v>
      </c>
      <c r="V62" s="7">
        <v>145590.69760000001</v>
      </c>
      <c r="W62" s="7">
        <v>18664.683000000001</v>
      </c>
      <c r="X62" s="7">
        <v>124528.08</v>
      </c>
      <c r="Y62" s="7">
        <v>2397.9346</v>
      </c>
      <c r="Z62" s="7">
        <v>1496581.28676</v>
      </c>
      <c r="AA62" s="7">
        <v>253863.19</v>
      </c>
    </row>
    <row r="63" spans="1:27" ht="28" customHeight="1">
      <c r="A63" s="3" t="str">
        <f>TEXT(DATE(LEFT(B63,3)+1911, MID(B63,5,2), 1), "yyyy-mm")</f>
        <v>2023-02</v>
      </c>
      <c r="B63" s="4" t="s">
        <v>86</v>
      </c>
      <c r="C63" s="6">
        <v>20317560.820909999</v>
      </c>
      <c r="D63" s="7">
        <v>11325247.32126</v>
      </c>
      <c r="E63" s="7">
        <v>330614.45585000003</v>
      </c>
      <c r="F63" s="7">
        <v>270405.81099999999</v>
      </c>
      <c r="G63" s="7">
        <v>2202526.8560000001</v>
      </c>
      <c r="H63" s="7">
        <v>362731.87900000002</v>
      </c>
      <c r="I63" s="7">
        <v>405347.03110999998</v>
      </c>
      <c r="J63" s="7">
        <v>1363998.909</v>
      </c>
      <c r="K63" s="7">
        <v>483140.33613000001</v>
      </c>
      <c r="L63" s="7">
        <v>4461561.9945</v>
      </c>
      <c r="M63" s="7">
        <v>4003534.3904800001</v>
      </c>
      <c r="N63" s="7">
        <v>3283890.2240599999</v>
      </c>
      <c r="O63" s="7">
        <v>223214.38399999999</v>
      </c>
      <c r="P63" s="7">
        <v>541810.95700000005</v>
      </c>
      <c r="Q63" s="7">
        <v>294370.86401000002</v>
      </c>
      <c r="R63" s="7">
        <v>93248.653999999995</v>
      </c>
      <c r="S63" s="7">
        <v>46244.955869999998</v>
      </c>
      <c r="T63" s="7">
        <v>225100.17211000001</v>
      </c>
      <c r="U63" s="7">
        <v>99194.126999999993</v>
      </c>
      <c r="V63" s="7">
        <v>135252.14636000001</v>
      </c>
      <c r="W63" s="7">
        <v>18928.993999999999</v>
      </c>
      <c r="X63" s="7">
        <v>114250.09699999999</v>
      </c>
      <c r="Y63" s="7">
        <v>2073.0553599999998</v>
      </c>
      <c r="Z63" s="7">
        <v>1319008.62356</v>
      </c>
      <c r="AA63" s="7">
        <v>250628.11519000001</v>
      </c>
    </row>
    <row r="64" spans="1:27" ht="28" customHeight="1">
      <c r="A64" s="3" t="str">
        <f>TEXT(DATE(LEFT(B64,3)+1911, MID(B64,5,2), 1), "yyyy-mm")</f>
        <v>2023-03</v>
      </c>
      <c r="B64" s="4" t="s">
        <v>87</v>
      </c>
      <c r="C64" s="6">
        <v>21770317.459570002</v>
      </c>
      <c r="D64" s="7">
        <v>12645203.42506</v>
      </c>
      <c r="E64" s="7">
        <v>333873.12946999999</v>
      </c>
      <c r="F64" s="7">
        <v>305408.065</v>
      </c>
      <c r="G64" s="7">
        <v>2378253.9840000002</v>
      </c>
      <c r="H64" s="7">
        <v>399258.51500000001</v>
      </c>
      <c r="I64" s="7">
        <v>464997.50686999998</v>
      </c>
      <c r="J64" s="7">
        <v>1572343.7290000001</v>
      </c>
      <c r="K64" s="7">
        <v>494982.75676999998</v>
      </c>
      <c r="L64" s="7">
        <v>5086614.0708699999</v>
      </c>
      <c r="M64" s="7">
        <v>3780073.1049600001</v>
      </c>
      <c r="N64" s="7">
        <v>3456764.2956900001</v>
      </c>
      <c r="O64" s="7">
        <v>248516.245</v>
      </c>
      <c r="P64" s="7">
        <v>525288.78200000001</v>
      </c>
      <c r="Q64" s="7">
        <v>316802.89104999998</v>
      </c>
      <c r="R64" s="7">
        <v>103678.985</v>
      </c>
      <c r="S64" s="7">
        <v>50432.926800000001</v>
      </c>
      <c r="T64" s="7">
        <v>252651.51749</v>
      </c>
      <c r="U64" s="7">
        <v>101089.162</v>
      </c>
      <c r="V64" s="7">
        <v>147614.75930000001</v>
      </c>
      <c r="W64" s="7">
        <v>20450.189999999999</v>
      </c>
      <c r="X64" s="7">
        <v>124774.55100000001</v>
      </c>
      <c r="Y64" s="7">
        <v>2390.0183000000002</v>
      </c>
      <c r="Z64" s="7">
        <v>1508764.0002900001</v>
      </c>
      <c r="AA64" s="7">
        <v>231897.87427</v>
      </c>
    </row>
    <row r="65" spans="1:27" ht="28" customHeight="1">
      <c r="A65" s="3" t="str">
        <f>TEXT(DATE(LEFT(B65,3)+1911, MID(B65,5,2), 1), "yyyy-mm")</f>
        <v>2023-04</v>
      </c>
      <c r="B65" s="4" t="s">
        <v>88</v>
      </c>
      <c r="C65" s="6">
        <v>20839992.443349998</v>
      </c>
      <c r="D65" s="7">
        <v>12086494.25766</v>
      </c>
      <c r="E65" s="7">
        <v>299680.65944000002</v>
      </c>
      <c r="F65" s="7">
        <v>268841.74800000002</v>
      </c>
      <c r="G65" s="7">
        <v>2194985.6310000001</v>
      </c>
      <c r="H65" s="7">
        <v>347945.34100000001</v>
      </c>
      <c r="I65" s="7">
        <v>437297.4754</v>
      </c>
      <c r="J65" s="7">
        <v>1573871.85</v>
      </c>
      <c r="K65" s="7">
        <v>446684.84443</v>
      </c>
      <c r="L65" s="7">
        <v>5008123.6668499997</v>
      </c>
      <c r="M65" s="7">
        <v>3326238.8931100001</v>
      </c>
      <c r="N65" s="7">
        <v>3451134.4117800002</v>
      </c>
      <c r="O65" s="7">
        <v>251843.97500000001</v>
      </c>
      <c r="P65" s="7">
        <v>537078.00699999998</v>
      </c>
      <c r="Q65" s="7">
        <v>301613.24064999999</v>
      </c>
      <c r="R65" s="7">
        <v>99857.019679999998</v>
      </c>
      <c r="S65" s="7">
        <v>48379.512410000003</v>
      </c>
      <c r="T65" s="7">
        <v>259901.56348000001</v>
      </c>
      <c r="U65" s="7">
        <v>104760.56600000001</v>
      </c>
      <c r="V65" s="7">
        <v>146090.53419999999</v>
      </c>
      <c r="W65" s="7">
        <v>20621.659</v>
      </c>
      <c r="X65" s="7">
        <v>123116.751</v>
      </c>
      <c r="Y65" s="7">
        <v>2352.1242000000002</v>
      </c>
      <c r="Z65" s="7">
        <v>1588042.75178</v>
      </c>
      <c r="AA65" s="7">
        <v>241991.59482</v>
      </c>
    </row>
    <row r="66" spans="1:27" ht="28" customHeight="1">
      <c r="A66" s="3" t="str">
        <f>TEXT(DATE(LEFT(B66,3)+1911, MID(B66,5,2), 1), "yyyy-mm")</f>
        <v>2023-05</v>
      </c>
      <c r="B66" s="4" t="s">
        <v>89</v>
      </c>
      <c r="C66" s="6">
        <v>22489556.748520002</v>
      </c>
      <c r="D66" s="7">
        <v>13041172.06629</v>
      </c>
      <c r="E66" s="7">
        <v>323740.03814000002</v>
      </c>
      <c r="F66" s="7">
        <v>303482.91600000003</v>
      </c>
      <c r="G66" s="7">
        <v>2384933.8429999999</v>
      </c>
      <c r="H66" s="7">
        <v>388487.97392999998</v>
      </c>
      <c r="I66" s="7">
        <v>447646.22194999998</v>
      </c>
      <c r="J66" s="7">
        <v>1580891.1640000001</v>
      </c>
      <c r="K66" s="7">
        <v>500227.73781000002</v>
      </c>
      <c r="L66" s="7">
        <v>5411855.3516199999</v>
      </c>
      <c r="M66" s="7">
        <v>3455048.8654399998</v>
      </c>
      <c r="N66" s="7">
        <v>3945539.7819699999</v>
      </c>
      <c r="O66" s="7">
        <v>282644.52299999999</v>
      </c>
      <c r="P66" s="7">
        <v>611036.33200000005</v>
      </c>
      <c r="Q66" s="7">
        <v>325921.69347</v>
      </c>
      <c r="R66" s="7">
        <v>120856.50769</v>
      </c>
      <c r="S66" s="7">
        <v>58240.311419999998</v>
      </c>
      <c r="T66" s="7">
        <v>300678.47521</v>
      </c>
      <c r="U66" s="7">
        <v>117727.645</v>
      </c>
      <c r="V66" s="7">
        <v>155933.45663999999</v>
      </c>
      <c r="W66" s="7">
        <v>21722.005000000001</v>
      </c>
      <c r="X66" s="7">
        <v>131917.73199999999</v>
      </c>
      <c r="Y66" s="7">
        <v>2293.7196399999998</v>
      </c>
      <c r="Z66" s="7">
        <v>1635608.74636</v>
      </c>
      <c r="AA66" s="7">
        <v>256253.83181999999</v>
      </c>
    </row>
    <row r="67" spans="1:27" ht="28" customHeight="1">
      <c r="A67" s="3" t="str">
        <f>TEXT(DATE(LEFT(B67,3)+1911, MID(B67,5,2), 1), "yyyy-mm")</f>
        <v>2023-06</v>
      </c>
      <c r="B67" s="4" t="s">
        <v>90</v>
      </c>
      <c r="C67" s="6">
        <v>22913939.618360002</v>
      </c>
      <c r="D67" s="7">
        <v>12918058.69093</v>
      </c>
      <c r="E67" s="7">
        <v>318572.28571999999</v>
      </c>
      <c r="F67" s="7">
        <v>296144.78700000001</v>
      </c>
      <c r="G67" s="7">
        <v>2367870.7336200001</v>
      </c>
      <c r="H67" s="7">
        <v>374497.55168999999</v>
      </c>
      <c r="I67" s="7">
        <v>432550.81718999997</v>
      </c>
      <c r="J67" s="7">
        <v>1508622.949</v>
      </c>
      <c r="K67" s="7">
        <v>487359.45292000001</v>
      </c>
      <c r="L67" s="7">
        <v>5415312.9068799997</v>
      </c>
      <c r="M67" s="7">
        <v>3843845.36938</v>
      </c>
      <c r="N67" s="7">
        <v>4121545.5794899999</v>
      </c>
      <c r="O67" s="7">
        <v>301717.84999999998</v>
      </c>
      <c r="P67" s="7">
        <v>644681.85499999998</v>
      </c>
      <c r="Q67" s="7">
        <v>319156.15596</v>
      </c>
      <c r="R67" s="7">
        <v>125548.01294</v>
      </c>
      <c r="S67" s="7">
        <v>60566.86363</v>
      </c>
      <c r="T67" s="7">
        <v>324314.82169999997</v>
      </c>
      <c r="U67" s="7">
        <v>127063.58199999999</v>
      </c>
      <c r="V67" s="7">
        <v>156946.39932</v>
      </c>
      <c r="W67" s="7">
        <v>22467.234</v>
      </c>
      <c r="X67" s="7">
        <v>132123.37</v>
      </c>
      <c r="Y67" s="7">
        <v>2355.7953200000002</v>
      </c>
      <c r="Z67" s="7">
        <v>1608837.95633</v>
      </c>
      <c r="AA67" s="7">
        <v>264705.62290999998</v>
      </c>
    </row>
    <row r="68" spans="1:27" ht="28" customHeight="1">
      <c r="A68" s="3" t="str">
        <f>TEXT(DATE(LEFT(B68,3)+1911, MID(B68,5,2), 1), "yyyy-mm")</f>
        <v>2023-07</v>
      </c>
      <c r="B68" s="4" t="s">
        <v>91</v>
      </c>
      <c r="C68" s="6">
        <v>25100935.065239999</v>
      </c>
      <c r="D68" s="7">
        <v>13624397.98229</v>
      </c>
      <c r="E68" s="7">
        <v>345514.28953000001</v>
      </c>
      <c r="F68" s="7">
        <v>295043.17599999998</v>
      </c>
      <c r="G68" s="7">
        <v>2481350.6636800002</v>
      </c>
      <c r="H68" s="7">
        <v>393903.99959000002</v>
      </c>
      <c r="I68" s="7">
        <v>456760.29175999999</v>
      </c>
      <c r="J68" s="7">
        <v>1581529.527</v>
      </c>
      <c r="K68" s="7">
        <v>512892.87161999999</v>
      </c>
      <c r="L68" s="7">
        <v>5734997.8820700003</v>
      </c>
      <c r="M68" s="7">
        <v>4662959.5450799996</v>
      </c>
      <c r="N68" s="7">
        <v>4634700.3774899999</v>
      </c>
      <c r="O68" s="7">
        <v>333161.745</v>
      </c>
      <c r="P68" s="7">
        <v>770543.33700000006</v>
      </c>
      <c r="Q68" s="7">
        <v>351908.37900999998</v>
      </c>
      <c r="R68" s="7">
        <v>147700.31080000001</v>
      </c>
      <c r="S68" s="7">
        <v>72055.087299999999</v>
      </c>
      <c r="T68" s="7">
        <v>354805.08158</v>
      </c>
      <c r="U68" s="7">
        <v>148405.15100000001</v>
      </c>
      <c r="V68" s="7">
        <v>162440.15943999999</v>
      </c>
      <c r="W68" s="7">
        <v>22985.620999999999</v>
      </c>
      <c r="X68" s="7">
        <v>137183.77900000001</v>
      </c>
      <c r="Y68" s="7">
        <v>2270.7594399999998</v>
      </c>
      <c r="Z68" s="7">
        <v>1705256.3189099999</v>
      </c>
      <c r="AA68" s="7">
        <v>311180.68203000003</v>
      </c>
    </row>
    <row r="69" spans="1:27" ht="28" customHeight="1">
      <c r="A69" s="3" t="str">
        <f>TEXT(DATE(LEFT(B69,3)+1911, MID(B69,5,2), 1), "yyyy-mm")</f>
        <v>2023-08</v>
      </c>
      <c r="B69" s="4" t="s">
        <v>92</v>
      </c>
      <c r="C69" s="6">
        <v>25679012.503320001</v>
      </c>
      <c r="D69" s="7">
        <v>13583139.493109999</v>
      </c>
      <c r="E69" s="7">
        <v>361806.00407000002</v>
      </c>
      <c r="F69" s="7">
        <v>285501.09000000003</v>
      </c>
      <c r="G69" s="7">
        <v>2380468.0554599999</v>
      </c>
      <c r="H69" s="7">
        <v>407606.36040000001</v>
      </c>
      <c r="I69" s="7">
        <v>477151.85554999998</v>
      </c>
      <c r="J69" s="7">
        <v>1551873.514</v>
      </c>
      <c r="K69" s="7">
        <v>533211.93133000005</v>
      </c>
      <c r="L69" s="7">
        <v>5728511.1175100002</v>
      </c>
      <c r="M69" s="7">
        <v>5334301.4484599996</v>
      </c>
      <c r="N69" s="7">
        <v>4651729.0853700005</v>
      </c>
      <c r="O69" s="7">
        <v>332525.10499999998</v>
      </c>
      <c r="P69" s="7">
        <v>784551.49</v>
      </c>
      <c r="Q69" s="7">
        <v>345089.94289000001</v>
      </c>
      <c r="R69" s="7">
        <v>146612.75391</v>
      </c>
      <c r="S69" s="7">
        <v>72942.85914</v>
      </c>
      <c r="T69" s="7">
        <v>355698.61745999998</v>
      </c>
      <c r="U69" s="7">
        <v>150549.443</v>
      </c>
      <c r="V69" s="7">
        <v>170705.56130999999</v>
      </c>
      <c r="W69" s="7">
        <v>23810.197</v>
      </c>
      <c r="X69" s="7">
        <v>144692.67800000001</v>
      </c>
      <c r="Y69" s="7">
        <v>2202.68631</v>
      </c>
      <c r="Z69" s="7">
        <v>1627480.1827</v>
      </c>
      <c r="AA69" s="7">
        <v>311656.73236999998</v>
      </c>
    </row>
    <row r="70" spans="1:27" ht="28" customHeight="1">
      <c r="A70" s="3" t="str">
        <f>TEXT(DATE(LEFT(B70,3)+1911, MID(B70,5,2), 1), "yyyy-mm")</f>
        <v>2023-09</v>
      </c>
      <c r="B70" s="4" t="s">
        <v>93</v>
      </c>
      <c r="C70" s="6">
        <v>25809315.45899</v>
      </c>
      <c r="D70" s="7">
        <v>13147486.73147</v>
      </c>
      <c r="E70" s="7">
        <v>347789.79937000002</v>
      </c>
      <c r="F70" s="7">
        <v>293994.07400000002</v>
      </c>
      <c r="G70" s="7">
        <v>2354830.58568</v>
      </c>
      <c r="H70" s="7">
        <v>390472.43435</v>
      </c>
      <c r="I70" s="7">
        <v>449817.84967000003</v>
      </c>
      <c r="J70" s="7">
        <v>1512144.3651399999</v>
      </c>
      <c r="K70" s="7">
        <v>509947.52545000002</v>
      </c>
      <c r="L70" s="7">
        <v>5498348.6076999996</v>
      </c>
      <c r="M70" s="7">
        <v>5723338.9941699998</v>
      </c>
      <c r="N70" s="7">
        <v>4866958.5942099998</v>
      </c>
      <c r="O70" s="7">
        <v>344376.81</v>
      </c>
      <c r="P70" s="7">
        <v>826208.52800000005</v>
      </c>
      <c r="Q70" s="7">
        <v>357646.09217000002</v>
      </c>
      <c r="R70" s="7">
        <v>154515.60883000001</v>
      </c>
      <c r="S70" s="7">
        <v>75382.099069999997</v>
      </c>
      <c r="T70" s="7">
        <v>340295.71055000002</v>
      </c>
      <c r="U70" s="7">
        <v>150952.63099999999</v>
      </c>
      <c r="V70" s="7">
        <v>152587.03104</v>
      </c>
      <c r="W70" s="7">
        <v>24289.202000000001</v>
      </c>
      <c r="X70" s="7">
        <v>125958.408</v>
      </c>
      <c r="Y70" s="7">
        <v>2339.4210400000002</v>
      </c>
      <c r="Z70" s="7">
        <v>1599743.2453699999</v>
      </c>
      <c r="AA70" s="7">
        <v>319200.86272999999</v>
      </c>
    </row>
    <row r="71" spans="1:27" ht="28" customHeight="1">
      <c r="A71" s="3" t="str">
        <f>TEXT(DATE(LEFT(B71,3)+1911, MID(B71,5,2), 1), "yyyy-mm")</f>
        <v>2023-10</v>
      </c>
      <c r="B71" s="4" t="s">
        <v>94</v>
      </c>
      <c r="C71" s="6">
        <v>24754947.961970001</v>
      </c>
      <c r="D71" s="7">
        <v>13164181.387499999</v>
      </c>
      <c r="E71" s="7">
        <v>336963.91317000001</v>
      </c>
      <c r="F71" s="7">
        <v>303394.43199999997</v>
      </c>
      <c r="G71" s="7">
        <v>2399851.4855599999</v>
      </c>
      <c r="H71" s="7">
        <v>357675.26036999997</v>
      </c>
      <c r="I71" s="7">
        <v>467131.86128000001</v>
      </c>
      <c r="J71" s="7">
        <v>1538966.72211</v>
      </c>
      <c r="K71" s="7">
        <v>487587.53726000001</v>
      </c>
      <c r="L71" s="7">
        <v>5576793.2988200001</v>
      </c>
      <c r="M71" s="7">
        <v>5202981.27752</v>
      </c>
      <c r="N71" s="7">
        <v>4436950.2484499998</v>
      </c>
      <c r="O71" s="7">
        <v>316147.71899999998</v>
      </c>
      <c r="P71" s="7">
        <v>748340.12199999997</v>
      </c>
      <c r="Q71" s="7">
        <v>344989.25592000003</v>
      </c>
      <c r="R71" s="7">
        <v>135026.70748000001</v>
      </c>
      <c r="S71" s="7">
        <v>65301.277990000002</v>
      </c>
      <c r="T71" s="7">
        <v>317032.03188000002</v>
      </c>
      <c r="U71" s="7">
        <v>137542.587</v>
      </c>
      <c r="V71" s="7">
        <v>156193.64918000001</v>
      </c>
      <c r="W71" s="7">
        <v>25195.075000000001</v>
      </c>
      <c r="X71" s="7">
        <v>128972.80899999999</v>
      </c>
      <c r="Y71" s="7">
        <v>2025.7651800000001</v>
      </c>
      <c r="Z71" s="7">
        <v>1498040.12717</v>
      </c>
      <c r="AA71" s="7">
        <v>296601.27214999998</v>
      </c>
    </row>
    <row r="72" spans="1:27" ht="28" customHeight="1">
      <c r="A72" s="3" t="str">
        <f>TEXT(DATE(LEFT(B72,3)+1911, MID(B72,5,2), 1), "yyyy-mm")</f>
        <v>2023-11</v>
      </c>
      <c r="B72" s="4" t="s">
        <v>95</v>
      </c>
      <c r="C72" s="6">
        <v>23205009.195889998</v>
      </c>
      <c r="D72" s="7">
        <v>12550626.69289</v>
      </c>
      <c r="E72" s="7">
        <v>329375.85363999999</v>
      </c>
      <c r="F72" s="7">
        <v>296882.75599999999</v>
      </c>
      <c r="G72" s="7">
        <v>2311886.5643699998</v>
      </c>
      <c r="H72" s="7">
        <v>385388.85804000002</v>
      </c>
      <c r="I72" s="7">
        <v>433719.20585000003</v>
      </c>
      <c r="J72" s="7">
        <v>1515713.0276500001</v>
      </c>
      <c r="K72" s="7">
        <v>496190.93952999997</v>
      </c>
      <c r="L72" s="7">
        <v>5126736.3489600001</v>
      </c>
      <c r="M72" s="7">
        <v>4610995.4336900003</v>
      </c>
      <c r="N72" s="7">
        <v>4156372.9203699999</v>
      </c>
      <c r="O72" s="7">
        <v>278127.20699999999</v>
      </c>
      <c r="P72" s="7">
        <v>700925.86699999997</v>
      </c>
      <c r="Q72" s="7">
        <v>332465.60366000002</v>
      </c>
      <c r="R72" s="7">
        <v>127962.14783</v>
      </c>
      <c r="S72" s="7">
        <v>62137.654829999999</v>
      </c>
      <c r="T72" s="7">
        <v>280558.21889000002</v>
      </c>
      <c r="U72" s="7">
        <v>125553.935</v>
      </c>
      <c r="V72" s="7">
        <v>159154.10972000001</v>
      </c>
      <c r="W72" s="7">
        <v>25977.732</v>
      </c>
      <c r="X72" s="7">
        <v>130882.06600000001</v>
      </c>
      <c r="Y72" s="7">
        <v>2294.3117200000002</v>
      </c>
      <c r="Z72" s="7">
        <v>1451084.44368</v>
      </c>
      <c r="AA72" s="7">
        <v>276775.59554000001</v>
      </c>
    </row>
    <row r="73" spans="1:27" ht="28" customHeight="1">
      <c r="A73" s="3" t="str">
        <f>TEXT(DATE(LEFT(B73,3)+1911, MID(B73,5,2), 1), "yyyy-mm")</f>
        <v>2023-12</v>
      </c>
      <c r="B73" s="4" t="s">
        <v>96</v>
      </c>
      <c r="C73" s="6">
        <v>22025076.330630001</v>
      </c>
      <c r="D73" s="7">
        <v>12748694.871160001</v>
      </c>
      <c r="E73" s="7">
        <v>328392.96555999998</v>
      </c>
      <c r="F73" s="7">
        <v>295753.36800000002</v>
      </c>
      <c r="G73" s="7">
        <v>2365119.1758900001</v>
      </c>
      <c r="H73" s="7">
        <v>366328.23339000001</v>
      </c>
      <c r="I73" s="7">
        <v>444843.57422000001</v>
      </c>
      <c r="J73" s="7">
        <v>1630091.1159099999</v>
      </c>
      <c r="K73" s="7">
        <v>496057.03211999999</v>
      </c>
      <c r="L73" s="7">
        <v>5238746.4300100002</v>
      </c>
      <c r="M73" s="7">
        <v>3697277.7662200001</v>
      </c>
      <c r="N73" s="7">
        <v>3743514.28217</v>
      </c>
      <c r="O73" s="7">
        <v>253529.12</v>
      </c>
      <c r="P73" s="7">
        <v>616506.16500000004</v>
      </c>
      <c r="Q73" s="7">
        <v>322537.39990999998</v>
      </c>
      <c r="R73" s="7">
        <v>111486.84007999999</v>
      </c>
      <c r="S73" s="7">
        <v>52835.808380000002</v>
      </c>
      <c r="T73" s="7">
        <v>261269.32887</v>
      </c>
      <c r="U73" s="7">
        <v>113352.736</v>
      </c>
      <c r="V73" s="7">
        <v>167755.63196</v>
      </c>
      <c r="W73" s="7">
        <v>26948.868999999999</v>
      </c>
      <c r="X73" s="7">
        <v>138487.11300000001</v>
      </c>
      <c r="Y73" s="7">
        <v>2319.6499600000002</v>
      </c>
      <c r="Z73" s="7">
        <v>1405568.5043200001</v>
      </c>
      <c r="AA73" s="7">
        <v>262265.27480000001</v>
      </c>
    </row>
    <row r="74" spans="1:27" ht="28" customHeight="1">
      <c r="A74" s="3" t="str">
        <f>TEXT(DATE(LEFT(B74,3)+1911, MID(B74,5,2), 1), "yyyy-mm")</f>
        <v>2024-01</v>
      </c>
      <c r="B74" s="4" t="s">
        <v>97</v>
      </c>
      <c r="C74" s="6">
        <v>21953592.29166</v>
      </c>
      <c r="D74" s="7">
        <v>12706309.35902</v>
      </c>
      <c r="E74" s="7">
        <v>347394.53067000001</v>
      </c>
      <c r="F74" s="7">
        <v>302119.49400000001</v>
      </c>
      <c r="G74" s="7">
        <v>2329501.5415500002</v>
      </c>
      <c r="H74" s="7">
        <v>371477.40820000001</v>
      </c>
      <c r="I74" s="7">
        <v>467396.22827999998</v>
      </c>
      <c r="J74" s="7">
        <v>1574551.04654</v>
      </c>
      <c r="K74" s="7">
        <v>508188.97200000001</v>
      </c>
      <c r="L74" s="7">
        <v>5198290.8551899996</v>
      </c>
      <c r="M74" s="7">
        <v>3784689.2576100002</v>
      </c>
      <c r="N74" s="7">
        <v>3692897.2475000001</v>
      </c>
      <c r="O74" s="7">
        <v>253145.23199999999</v>
      </c>
      <c r="P74" s="7">
        <v>606376.75</v>
      </c>
      <c r="Q74" s="7">
        <v>327434.96568000002</v>
      </c>
      <c r="R74" s="7">
        <v>108732.15499</v>
      </c>
      <c r="S74" s="7">
        <v>52909.183069999999</v>
      </c>
      <c r="T74" s="7">
        <v>248391.95679</v>
      </c>
      <c r="U74" s="7">
        <v>109229.609</v>
      </c>
      <c r="V74" s="7">
        <v>159050.89973999999</v>
      </c>
      <c r="W74" s="7">
        <v>27205.079000000002</v>
      </c>
      <c r="X74" s="7">
        <v>129733.128</v>
      </c>
      <c r="Y74" s="7">
        <v>2112.69274</v>
      </c>
      <c r="Z74" s="7">
        <v>1350511.06443</v>
      </c>
      <c r="AA74" s="7">
        <v>260134.46335999999</v>
      </c>
    </row>
    <row r="75" spans="1:27" ht="28" customHeight="1">
      <c r="A75" s="3" t="str">
        <f>TEXT(DATE(LEFT(B75,3)+1911, MID(B75,5,2), 1), "yyyy-mm")</f>
        <v>2024-02</v>
      </c>
      <c r="B75" s="4" t="s">
        <v>98</v>
      </c>
      <c r="C75" s="6">
        <v>19840810.05604</v>
      </c>
      <c r="D75" s="7">
        <v>11194616.37459</v>
      </c>
      <c r="E75" s="7">
        <v>278862.41647</v>
      </c>
      <c r="F75" s="7">
        <v>237002.15700000001</v>
      </c>
      <c r="G75" s="7">
        <v>2089595.79813</v>
      </c>
      <c r="H75" s="7">
        <v>284852.67489000002</v>
      </c>
      <c r="I75" s="7">
        <v>387678.09009999997</v>
      </c>
      <c r="J75" s="7">
        <v>1392289.9201700001</v>
      </c>
      <c r="K75" s="7">
        <v>392703.1556</v>
      </c>
      <c r="L75" s="7">
        <v>4793795.8600199996</v>
      </c>
      <c r="M75" s="7">
        <v>3704862.58654</v>
      </c>
      <c r="N75" s="7">
        <v>3234568.3876899998</v>
      </c>
      <c r="O75" s="7">
        <v>230593.65599999999</v>
      </c>
      <c r="P75" s="7">
        <v>526182.27899999998</v>
      </c>
      <c r="Q75" s="7">
        <v>291205.46023999999</v>
      </c>
      <c r="R75" s="7">
        <v>92636.12788</v>
      </c>
      <c r="S75" s="7">
        <v>44519.793440000001</v>
      </c>
      <c r="T75" s="7">
        <v>228476.32105</v>
      </c>
      <c r="U75" s="7">
        <v>97035.120999999999</v>
      </c>
      <c r="V75" s="7">
        <v>152313.50004000001</v>
      </c>
      <c r="W75" s="7">
        <v>27455.796999999999</v>
      </c>
      <c r="X75" s="7">
        <v>122762.731</v>
      </c>
      <c r="Y75" s="7">
        <v>2094.9720400000001</v>
      </c>
      <c r="Z75" s="7">
        <v>1321944.4676999999</v>
      </c>
      <c r="AA75" s="7">
        <v>232504.73947999999</v>
      </c>
    </row>
    <row r="76" spans="1:27" ht="28" customHeight="1">
      <c r="A76" s="3" t="str">
        <f>TEXT(DATE(LEFT(B76,3)+1911, MID(B76,5,2), 1), "yyyy-mm")</f>
        <v>2024-03</v>
      </c>
      <c r="B76" s="4" t="s">
        <v>99</v>
      </c>
      <c r="C76" s="6">
        <v>21967970.647059999</v>
      </c>
      <c r="D76" s="7">
        <v>12781677.977949999</v>
      </c>
      <c r="E76" s="7">
        <v>343820.73449</v>
      </c>
      <c r="F76" s="7">
        <v>298210.57699999999</v>
      </c>
      <c r="G76" s="7">
        <v>2331494.1183500001</v>
      </c>
      <c r="H76" s="7">
        <v>356816.45841000002</v>
      </c>
      <c r="I76" s="7">
        <v>481365.61407000001</v>
      </c>
      <c r="J76" s="7">
        <v>1626019.6691099999</v>
      </c>
      <c r="K76" s="7">
        <v>493859.39799999999</v>
      </c>
      <c r="L76" s="7">
        <v>5283240.2180399997</v>
      </c>
      <c r="M76" s="7">
        <v>3743956.9132699999</v>
      </c>
      <c r="N76" s="7">
        <v>3546298.3877099999</v>
      </c>
      <c r="O76" s="7">
        <v>251848.408</v>
      </c>
      <c r="P76" s="7">
        <v>560060.47499999998</v>
      </c>
      <c r="Q76" s="7">
        <v>320597.55375000002</v>
      </c>
      <c r="R76" s="7">
        <v>101223.82797</v>
      </c>
      <c r="S76" s="7">
        <v>53791.557359999999</v>
      </c>
      <c r="T76" s="7">
        <v>255042.10081</v>
      </c>
      <c r="U76" s="7">
        <v>106918.20299999999</v>
      </c>
      <c r="V76" s="7">
        <v>161357.69761999999</v>
      </c>
      <c r="W76" s="7">
        <v>28309.196</v>
      </c>
      <c r="X76" s="7">
        <v>130745.61199999999</v>
      </c>
      <c r="Y76" s="7">
        <v>2302.8896199999999</v>
      </c>
      <c r="Z76" s="7">
        <v>1486710.0696399999</v>
      </c>
      <c r="AA76" s="7">
        <v>247969.60086999999</v>
      </c>
    </row>
    <row r="77" spans="1:27" ht="28" customHeight="1">
      <c r="A77" s="3" t="str">
        <f>TEXT(DATE(LEFT(B77,3)+1911, MID(B77,5,2), 1), "yyyy-mm")</f>
        <v>2024-04</v>
      </c>
      <c r="B77" s="4" t="s">
        <v>100</v>
      </c>
      <c r="C77" s="6">
        <v>21946739.013280001</v>
      </c>
      <c r="D77" s="7">
        <v>12588793.4311</v>
      </c>
      <c r="E77" s="7">
        <v>340688.47871</v>
      </c>
      <c r="F77" s="7">
        <v>254624.84599999999</v>
      </c>
      <c r="G77" s="7">
        <v>2333182.4162599999</v>
      </c>
      <c r="H77" s="7">
        <v>355407.97871</v>
      </c>
      <c r="I77" s="7">
        <v>412251.48832</v>
      </c>
      <c r="J77" s="7">
        <v>1526006.8952200001</v>
      </c>
      <c r="K77" s="7">
        <v>509377.30830999999</v>
      </c>
      <c r="L77" s="7">
        <v>5255618.5392000005</v>
      </c>
      <c r="M77" s="7">
        <v>3651415.57987</v>
      </c>
      <c r="N77" s="7">
        <v>3765651.2083700001</v>
      </c>
      <c r="O77" s="7">
        <v>282051.86499999999</v>
      </c>
      <c r="P77" s="7">
        <v>588778.39800000004</v>
      </c>
      <c r="Q77" s="7">
        <v>316450.85794999998</v>
      </c>
      <c r="R77" s="7">
        <v>109902.16807</v>
      </c>
      <c r="S77" s="7">
        <v>67855.302540000004</v>
      </c>
      <c r="T77" s="7">
        <v>281027.82733</v>
      </c>
      <c r="U77" s="7">
        <v>116515.95699999999</v>
      </c>
      <c r="V77" s="7">
        <v>159972.97477</v>
      </c>
      <c r="W77" s="7">
        <v>27935.329000000002</v>
      </c>
      <c r="X77" s="7">
        <v>129403.30100000001</v>
      </c>
      <c r="Y77" s="7">
        <v>2634.3447700000002</v>
      </c>
      <c r="Z77" s="7">
        <v>1519230.66631</v>
      </c>
      <c r="AA77" s="7">
        <v>261675.15286</v>
      </c>
    </row>
    <row r="78" spans="1:27" ht="28" customHeight="1">
      <c r="A78" s="3" t="str">
        <f>TEXT(DATE(LEFT(B78,3)+1911, MID(B78,5,2), 1), "yyyy-mm")</f>
        <v>2024-05</v>
      </c>
      <c r="B78" s="4" t="s">
        <v>101</v>
      </c>
      <c r="C78" s="6">
        <v>24136635.897119999</v>
      </c>
      <c r="D78" s="7">
        <v>13698850.98182</v>
      </c>
      <c r="E78" s="7">
        <v>364113.74763</v>
      </c>
      <c r="F78" s="7">
        <v>283249.59600000002</v>
      </c>
      <c r="G78" s="7">
        <v>2576284.3441900001</v>
      </c>
      <c r="H78" s="7">
        <v>389397.02863999997</v>
      </c>
      <c r="I78" s="7">
        <v>467201.35266999999</v>
      </c>
      <c r="J78" s="7">
        <v>1641944.5790299999</v>
      </c>
      <c r="K78" s="7">
        <v>565865.39838999999</v>
      </c>
      <c r="L78" s="7">
        <v>5650803.0927499998</v>
      </c>
      <c r="M78" s="7">
        <v>4066859.2237499999</v>
      </c>
      <c r="N78" s="7">
        <v>4363791.4816100001</v>
      </c>
      <c r="O78" s="7">
        <v>327369.815</v>
      </c>
      <c r="P78" s="7">
        <v>714990.56799999997</v>
      </c>
      <c r="Q78" s="7">
        <v>353399.58308999997</v>
      </c>
      <c r="R78" s="7">
        <v>128809.099</v>
      </c>
      <c r="S78" s="7">
        <v>75186.720239999995</v>
      </c>
      <c r="T78" s="7">
        <v>307311.28914000001</v>
      </c>
      <c r="U78" s="7">
        <v>135819.734</v>
      </c>
      <c r="V78" s="7">
        <v>150410.95468</v>
      </c>
      <c r="W78" s="7">
        <v>29710.76</v>
      </c>
      <c r="X78" s="7">
        <v>118125.16099999999</v>
      </c>
      <c r="Y78" s="7">
        <v>2575.03368</v>
      </c>
      <c r="Z78" s="7">
        <v>1555137.7975399999</v>
      </c>
      <c r="AA78" s="7">
        <v>301585.45772000001</v>
      </c>
    </row>
    <row r="79" spans="1:27" ht="28" customHeight="1">
      <c r="A79" s="3" t="str">
        <f>TEXT(DATE(LEFT(B79,3)+1911, MID(B79,5,2), 1), "yyyy-mm")</f>
        <v>2024-06</v>
      </c>
      <c r="B79" s="4" t="s">
        <v>102</v>
      </c>
      <c r="C79" s="6">
        <v>23840448.943229999</v>
      </c>
      <c r="D79" s="7">
        <v>13331053.165379999</v>
      </c>
      <c r="E79" s="7">
        <v>345487.19890999998</v>
      </c>
      <c r="F79" s="7">
        <v>274801.13699999999</v>
      </c>
      <c r="G79" s="7">
        <v>2482422.08299</v>
      </c>
      <c r="H79" s="7">
        <v>365559.01475999999</v>
      </c>
      <c r="I79" s="7">
        <v>477374.85002999997</v>
      </c>
      <c r="J79" s="7">
        <v>1543347.7087300001</v>
      </c>
      <c r="K79" s="7">
        <v>531620.25717</v>
      </c>
      <c r="L79" s="7">
        <v>5629420.9898600001</v>
      </c>
      <c r="M79" s="7">
        <v>4297871.7811899995</v>
      </c>
      <c r="N79" s="7">
        <v>4259213.8215100002</v>
      </c>
      <c r="O79" s="7">
        <v>330719.00799999997</v>
      </c>
      <c r="P79" s="7">
        <v>682129.17700000003</v>
      </c>
      <c r="Q79" s="7">
        <v>329166.82770999998</v>
      </c>
      <c r="R79" s="7">
        <v>128109.91297</v>
      </c>
      <c r="S79" s="7">
        <v>75424.391520000005</v>
      </c>
      <c r="T79" s="7">
        <v>319876.35210999998</v>
      </c>
      <c r="U79" s="7">
        <v>134977.106</v>
      </c>
      <c r="V79" s="7">
        <v>150696.95988000001</v>
      </c>
      <c r="W79" s="7">
        <v>30977.135999999999</v>
      </c>
      <c r="X79" s="7">
        <v>117242.511</v>
      </c>
      <c r="Y79" s="7">
        <v>2477.31288</v>
      </c>
      <c r="Z79" s="7">
        <v>1525153.182</v>
      </c>
      <c r="AA79" s="7">
        <v>276460.03327000001</v>
      </c>
    </row>
    <row r="80" spans="1:27" ht="28" customHeight="1">
      <c r="A80" s="3" t="str">
        <f>TEXT(DATE(LEFT(B80,3)+1911, MID(B80,5,2), 1), "yyyy-mm")</f>
        <v>2024-07</v>
      </c>
      <c r="B80" s="4" t="s">
        <v>103</v>
      </c>
      <c r="C80" s="6">
        <v>25677452.00062</v>
      </c>
      <c r="D80" s="7">
        <v>13876600.13084</v>
      </c>
      <c r="E80" s="7">
        <v>371144.74631999998</v>
      </c>
      <c r="F80" s="7">
        <v>289458.75900000002</v>
      </c>
      <c r="G80" s="7">
        <v>2546325.5626699999</v>
      </c>
      <c r="H80" s="7">
        <v>390765.16694000002</v>
      </c>
      <c r="I80" s="7">
        <v>481369.57334</v>
      </c>
      <c r="J80" s="7">
        <v>1535264.84228</v>
      </c>
      <c r="K80" s="7">
        <v>572666.38959999999</v>
      </c>
      <c r="L80" s="7">
        <v>5851026.1805600002</v>
      </c>
      <c r="M80" s="7">
        <v>4879269.4466700004</v>
      </c>
      <c r="N80" s="7">
        <v>4816011.6558999997</v>
      </c>
      <c r="O80" s="7">
        <v>367056.609</v>
      </c>
      <c r="P80" s="7">
        <v>806612.52800000005</v>
      </c>
      <c r="Q80" s="7">
        <v>367685.24345000001</v>
      </c>
      <c r="R80" s="7">
        <v>151753.98324999999</v>
      </c>
      <c r="S80" s="7">
        <v>87967.039829999994</v>
      </c>
      <c r="T80" s="7">
        <v>360001.68975000002</v>
      </c>
      <c r="U80" s="7">
        <v>156658.21799999999</v>
      </c>
      <c r="V80" s="7">
        <v>155926.45997</v>
      </c>
      <c r="W80" s="7">
        <v>32044.998</v>
      </c>
      <c r="X80" s="7">
        <v>121365.182</v>
      </c>
      <c r="Y80" s="7">
        <v>2516.27997</v>
      </c>
      <c r="Z80" s="7">
        <v>1622416.5471099999</v>
      </c>
      <c r="AA80" s="7">
        <v>327227.76013000001</v>
      </c>
    </row>
    <row r="81" spans="1:27" ht="28" customHeight="1">
      <c r="A81" s="3" t="str">
        <f>TEXT(DATE(LEFT(B81,3)+1911, MID(B81,5,2), 1), "yyyy-mm")</f>
        <v>2024-08</v>
      </c>
      <c r="B81" s="4" t="s">
        <v>104</v>
      </c>
      <c r="C81" s="6">
        <v>26712914.785440002</v>
      </c>
      <c r="D81" s="7">
        <v>13862774.49879</v>
      </c>
      <c r="E81" s="7">
        <v>383038.74667999998</v>
      </c>
      <c r="F81" s="7">
        <v>288541.55300000001</v>
      </c>
      <c r="G81" s="7">
        <v>2354605.8146299999</v>
      </c>
      <c r="H81" s="7">
        <v>403480.04551999999</v>
      </c>
      <c r="I81" s="7">
        <v>468381.07568000001</v>
      </c>
      <c r="J81" s="7">
        <v>1556437.96579</v>
      </c>
      <c r="K81" s="7">
        <v>598353.80701999995</v>
      </c>
      <c r="L81" s="7">
        <v>5925640.0291299997</v>
      </c>
      <c r="M81" s="7">
        <v>5824735.6354900002</v>
      </c>
      <c r="N81" s="7">
        <v>4949055.8775699995</v>
      </c>
      <c r="O81" s="7">
        <v>375536.31699999998</v>
      </c>
      <c r="P81" s="7">
        <v>852073.29599999997</v>
      </c>
      <c r="Q81" s="7">
        <v>373026.51418</v>
      </c>
      <c r="R81" s="7">
        <v>152863.85475999999</v>
      </c>
      <c r="S81" s="7">
        <v>88518.480020000003</v>
      </c>
      <c r="T81" s="7">
        <v>361211.35996999999</v>
      </c>
      <c r="U81" s="7">
        <v>164679.046</v>
      </c>
      <c r="V81" s="7">
        <v>163250.31855</v>
      </c>
      <c r="W81" s="7">
        <v>32361.170999999998</v>
      </c>
      <c r="X81" s="7">
        <v>128322.689</v>
      </c>
      <c r="Y81" s="7">
        <v>2566.4585499999998</v>
      </c>
      <c r="Z81" s="7">
        <v>1571425.1560899999</v>
      </c>
      <c r="AA81" s="7">
        <v>341673.29895000003</v>
      </c>
    </row>
    <row r="82" spans="1:27" ht="28" customHeight="1">
      <c r="A82" s="3" t="str">
        <f>TEXT(DATE(LEFT(B82,3)+1911, MID(B82,5,2), 1), "yyyy-mm")</f>
        <v>2024-09</v>
      </c>
      <c r="B82" s="4" t="s">
        <v>105</v>
      </c>
      <c r="C82" s="6">
        <v>27003663.408829998</v>
      </c>
      <c r="D82" s="7">
        <v>13432526.83818</v>
      </c>
      <c r="E82" s="7">
        <v>359005.85358</v>
      </c>
      <c r="F82" s="7">
        <v>272076.76699999999</v>
      </c>
      <c r="G82" s="7">
        <v>2408622.1198999998</v>
      </c>
      <c r="H82" s="7">
        <v>370059.28970000002</v>
      </c>
      <c r="I82" s="7">
        <v>464794.27451999998</v>
      </c>
      <c r="J82" s="7">
        <v>1482764.0045</v>
      </c>
      <c r="K82" s="7">
        <v>558267.95299000002</v>
      </c>
      <c r="L82" s="7">
        <v>5729978.3759599999</v>
      </c>
      <c r="M82" s="7">
        <v>6064894.0618899995</v>
      </c>
      <c r="N82" s="7">
        <v>4970624.04593</v>
      </c>
      <c r="O82" s="7">
        <v>365440.51400000002</v>
      </c>
      <c r="P82" s="7">
        <v>842890.17099999997</v>
      </c>
      <c r="Q82" s="7">
        <v>374364.61268000002</v>
      </c>
      <c r="R82" s="7">
        <v>150327.85678999999</v>
      </c>
      <c r="S82" s="7">
        <v>89680.84031</v>
      </c>
      <c r="T82" s="7">
        <v>344312.93833999999</v>
      </c>
      <c r="U82" s="7">
        <v>156225.875</v>
      </c>
      <c r="V82" s="7">
        <v>157258.48488999999</v>
      </c>
      <c r="W82" s="7">
        <v>33462.843000000001</v>
      </c>
      <c r="X82" s="7">
        <v>121496.857</v>
      </c>
      <c r="Y82" s="7">
        <v>2298.7848899999999</v>
      </c>
      <c r="Z82" s="7">
        <v>2053613.00973</v>
      </c>
      <c r="AA82" s="7">
        <v>324746.96821000002</v>
      </c>
    </row>
    <row r="83" spans="1:27" ht="28" customHeight="1">
      <c r="A83" s="3" t="str">
        <f>TEXT(DATE(LEFT(B83,3)+1911, MID(B83,5,2), 1), "yyyy-mm")</f>
        <v>2024-10</v>
      </c>
      <c r="B83" s="4" t="s">
        <v>106</v>
      </c>
      <c r="C83" s="6">
        <v>25029546.999960002</v>
      </c>
      <c r="D83" s="7">
        <v>13321602.40411</v>
      </c>
      <c r="E83" s="7">
        <v>344933.02880999999</v>
      </c>
      <c r="F83" s="7">
        <v>279318.58100000001</v>
      </c>
      <c r="G83" s="7">
        <v>2379938.0679500001</v>
      </c>
      <c r="H83" s="7">
        <v>364268.62822999997</v>
      </c>
      <c r="I83" s="7">
        <v>449406.69179000001</v>
      </c>
      <c r="J83" s="7">
        <v>1492984.4321399999</v>
      </c>
      <c r="K83" s="7">
        <v>532651.23910000001</v>
      </c>
      <c r="L83" s="7">
        <v>5769760.6884500002</v>
      </c>
      <c r="M83" s="7">
        <v>5218938.9720700001</v>
      </c>
      <c r="N83" s="7">
        <v>4506116.6558299996</v>
      </c>
      <c r="O83" s="7">
        <v>332883.614</v>
      </c>
      <c r="P83" s="7">
        <v>760235.64099999995</v>
      </c>
      <c r="Q83" s="7">
        <v>359636.05969999998</v>
      </c>
      <c r="R83" s="7">
        <v>131684.9314</v>
      </c>
      <c r="S83" s="7">
        <v>78888.076920000007</v>
      </c>
      <c r="T83" s="7">
        <v>321887.27223</v>
      </c>
      <c r="U83" s="7">
        <v>142173.905</v>
      </c>
      <c r="V83" s="7">
        <v>153853.29212999999</v>
      </c>
      <c r="W83" s="7">
        <v>34262.627</v>
      </c>
      <c r="X83" s="7">
        <v>117333.732</v>
      </c>
      <c r="Y83" s="7">
        <v>2256.9331299999999</v>
      </c>
      <c r="Z83" s="7">
        <v>1530674.9050799999</v>
      </c>
      <c r="AA83" s="7">
        <v>298360.77074000001</v>
      </c>
    </row>
    <row r="84" spans="1:27" ht="28" customHeight="1">
      <c r="A84" s="3" t="str">
        <f>TEXT(DATE(LEFT(B84,3)+1911, MID(B84,5,2), 1), "yyyy-mm")</f>
        <v>2024-11</v>
      </c>
      <c r="B84" s="4" t="s">
        <v>107</v>
      </c>
      <c r="C84" s="6">
        <v>23827738.578359999</v>
      </c>
      <c r="D84" s="7">
        <v>12923069.87988</v>
      </c>
      <c r="E84" s="7">
        <v>320654.48554999998</v>
      </c>
      <c r="F84" s="7">
        <v>274943.89799999999</v>
      </c>
      <c r="G84" s="7">
        <v>2323699.8890200001</v>
      </c>
      <c r="H84" s="7">
        <v>373549.71665000002</v>
      </c>
      <c r="I84" s="7">
        <v>443355.14348000003</v>
      </c>
      <c r="J84" s="7">
        <v>1494046.91069</v>
      </c>
      <c r="K84" s="7">
        <v>545431.82874999999</v>
      </c>
      <c r="L84" s="7">
        <v>5477033.9969600001</v>
      </c>
      <c r="M84" s="7">
        <v>4711770.86931</v>
      </c>
      <c r="N84" s="7">
        <v>4281177.5353600001</v>
      </c>
      <c r="O84" s="7">
        <v>294670.41899999999</v>
      </c>
      <c r="P84" s="7">
        <v>733301.98899999994</v>
      </c>
      <c r="Q84" s="7">
        <v>356656.19796999998</v>
      </c>
      <c r="R84" s="7">
        <v>122821.08190999999</v>
      </c>
      <c r="S84" s="7">
        <v>74438.585730000006</v>
      </c>
      <c r="T84" s="7">
        <v>285660.32802000002</v>
      </c>
      <c r="U84" s="7">
        <v>134030.405</v>
      </c>
      <c r="V84" s="7">
        <v>168728.77841</v>
      </c>
      <c r="W84" s="7">
        <v>34928.131999999998</v>
      </c>
      <c r="X84" s="7">
        <v>131345.93400000001</v>
      </c>
      <c r="Y84" s="7">
        <v>2454.7124100000001</v>
      </c>
      <c r="Z84" s="7">
        <v>1454062.9704799999</v>
      </c>
      <c r="AA84" s="7">
        <v>288928.54492000001</v>
      </c>
    </row>
    <row r="85" spans="1:27" ht="28" customHeight="1">
      <c r="A85" s="3" t="str">
        <f>TEXT(DATE(LEFT(B85,3)+1911, MID(B85,5,2), 1), "yyyy-mm")</f>
        <v>2024-12</v>
      </c>
      <c r="B85" s="4" t="s">
        <v>108</v>
      </c>
      <c r="C85" s="6">
        <v>21913788.221299998</v>
      </c>
      <c r="D85" s="7">
        <v>12847530.97724</v>
      </c>
      <c r="E85" s="7">
        <v>335228.52028</v>
      </c>
      <c r="F85" s="7">
        <v>284635.913</v>
      </c>
      <c r="G85" s="7">
        <v>2328597.48416</v>
      </c>
      <c r="H85" s="7">
        <v>367751.08091000002</v>
      </c>
      <c r="I85" s="7">
        <v>478863.27428000001</v>
      </c>
      <c r="J85" s="7">
        <v>1543059.52422</v>
      </c>
      <c r="K85" s="7">
        <v>540004.26147999999</v>
      </c>
      <c r="L85" s="7">
        <v>5388446.6333999997</v>
      </c>
      <c r="M85" s="7">
        <v>3492895.8519600001</v>
      </c>
      <c r="N85" s="7">
        <v>3642008.3481299998</v>
      </c>
      <c r="O85" s="7">
        <v>256364.427</v>
      </c>
      <c r="P85" s="7">
        <v>600955.49100000004</v>
      </c>
      <c r="Q85" s="7">
        <v>335107.44183000003</v>
      </c>
      <c r="R85" s="7">
        <v>105183.03856</v>
      </c>
      <c r="S85" s="7">
        <v>63443.752560000001</v>
      </c>
      <c r="T85" s="7">
        <v>251086.61384999999</v>
      </c>
      <c r="U85" s="7">
        <v>112008.87</v>
      </c>
      <c r="V85" s="7">
        <v>175018.53056000001</v>
      </c>
      <c r="W85" s="7">
        <v>35690.650999999998</v>
      </c>
      <c r="X85" s="7">
        <v>136858.514</v>
      </c>
      <c r="Y85" s="7">
        <v>2469.3655600000002</v>
      </c>
      <c r="Z85" s="7">
        <v>1513738.5698299999</v>
      </c>
      <c r="AA85" s="7">
        <v>242595.94357999999</v>
      </c>
    </row>
    <row r="86" spans="1:27" ht="28" customHeight="1">
      <c r="A86" s="3" t="str">
        <f>TEXT(DATE(LEFT(B86,3)+1911, MID(B86,5,2), 1), "yyyy-mm")</f>
        <v>2025-01</v>
      </c>
      <c r="B86" s="4" t="s">
        <v>109</v>
      </c>
      <c r="C86" s="6">
        <v>20822945.446070001</v>
      </c>
      <c r="D86" s="7">
        <v>12159078.897849999</v>
      </c>
      <c r="E86" s="7">
        <v>295025.77250000002</v>
      </c>
      <c r="F86" s="7">
        <v>254472.799</v>
      </c>
      <c r="G86" s="7">
        <v>2272331.0415500002</v>
      </c>
      <c r="H86" s="7">
        <v>314277.78321000002</v>
      </c>
      <c r="I86" s="7">
        <v>464000.12705000001</v>
      </c>
      <c r="J86" s="7">
        <v>1431335.3653200001</v>
      </c>
      <c r="K86" s="7">
        <v>459350.42126999999</v>
      </c>
      <c r="L86" s="7">
        <v>5222676.3225600002</v>
      </c>
      <c r="M86" s="7">
        <v>3531865.0775600001</v>
      </c>
      <c r="N86" s="7">
        <v>3387093.9063200001</v>
      </c>
      <c r="O86" s="7">
        <v>235998.41399999999</v>
      </c>
      <c r="P86" s="7">
        <v>538565.21799999999</v>
      </c>
      <c r="Q86" s="7">
        <v>331999.41003000003</v>
      </c>
      <c r="R86" s="7">
        <v>97598.22666</v>
      </c>
      <c r="S86" s="7">
        <v>57943.373249999997</v>
      </c>
      <c r="T86" s="7">
        <v>232474.75688</v>
      </c>
      <c r="U86" s="7">
        <v>99508.457999999999</v>
      </c>
      <c r="V86" s="7">
        <v>172645.20376999999</v>
      </c>
      <c r="W86" s="7">
        <v>36400.262999999999</v>
      </c>
      <c r="X86" s="7">
        <v>133682.41399999999</v>
      </c>
      <c r="Y86" s="7">
        <v>2562.5267699999999</v>
      </c>
      <c r="Z86" s="7">
        <v>1347344.8785000001</v>
      </c>
      <c r="AA86" s="7">
        <v>224917.48207</v>
      </c>
    </row>
    <row r="87" spans="1:27" ht="28" customHeight="1">
      <c r="A87" s="3" t="str">
        <f>TEXT(DATE(LEFT(B87,3)+1911, MID(B87,5,2), 1), "yyyy-mm")</f>
        <v>2025-02</v>
      </c>
      <c r="B87" s="4" t="s">
        <v>110</v>
      </c>
      <c r="C87" s="6">
        <v>19883959.57872</v>
      </c>
      <c r="D87" s="7">
        <v>11400848.338</v>
      </c>
      <c r="E87" s="7">
        <v>284615.01916000003</v>
      </c>
      <c r="F87" s="7">
        <v>243529.723</v>
      </c>
      <c r="G87" s="7">
        <v>2068316.75563</v>
      </c>
      <c r="H87" s="7">
        <v>319037.11690000002</v>
      </c>
      <c r="I87" s="7">
        <v>375211.96675999998</v>
      </c>
      <c r="J87" s="7">
        <v>1323566.13316</v>
      </c>
      <c r="K87" s="7">
        <v>469298.77392000001</v>
      </c>
      <c r="L87" s="7">
        <v>4927067.5183100002</v>
      </c>
      <c r="M87" s="7">
        <v>3756686.40289</v>
      </c>
      <c r="N87" s="7">
        <v>3151775.1024600002</v>
      </c>
      <c r="O87" s="7">
        <v>217525.73800000001</v>
      </c>
      <c r="P87" s="7">
        <v>510407.10200000001</v>
      </c>
      <c r="Q87" s="7">
        <v>313493.54583000002</v>
      </c>
      <c r="R87" s="7">
        <v>86285.993539999996</v>
      </c>
      <c r="S87" s="7">
        <v>51984.714059999998</v>
      </c>
      <c r="T87" s="7">
        <v>217472.20835</v>
      </c>
      <c r="U87" s="7">
        <v>95436.683999999994</v>
      </c>
      <c r="V87" s="7">
        <v>157401.62080999999</v>
      </c>
      <c r="W87" s="7">
        <v>37151.131000000001</v>
      </c>
      <c r="X87" s="7">
        <v>118048.45</v>
      </c>
      <c r="Y87" s="7">
        <v>2202.0398100000002</v>
      </c>
      <c r="Z87" s="7">
        <v>1188779.1734800001</v>
      </c>
      <c r="AA87" s="7">
        <v>228468.94107999999</v>
      </c>
    </row>
    <row r="88" spans="1:27" ht="28" customHeight="1">
      <c r="A88" s="3" t="str">
        <f>TEXT(DATE(LEFT(B88,3)+1911, MID(B88,5,2), 1), "yyyy-mm")</f>
        <v>2025-03</v>
      </c>
      <c r="B88" s="4" t="s">
        <v>111</v>
      </c>
      <c r="C88" s="6">
        <v>21982319.095490001</v>
      </c>
      <c r="D88" s="7">
        <v>12911464.90411</v>
      </c>
      <c r="E88" s="7">
        <v>321520.80364</v>
      </c>
      <c r="F88" s="7">
        <v>267947.22899999999</v>
      </c>
      <c r="G88" s="7">
        <v>2309380.74957</v>
      </c>
      <c r="H88" s="7">
        <v>358690.88094</v>
      </c>
      <c r="I88" s="7">
        <v>469301.44893000001</v>
      </c>
      <c r="J88" s="7">
        <v>1510775.72508</v>
      </c>
      <c r="K88" s="7">
        <v>524506.27873999998</v>
      </c>
      <c r="L88" s="7">
        <v>5594608.9098800002</v>
      </c>
      <c r="M88" s="7">
        <v>3854175.7149299998</v>
      </c>
      <c r="N88" s="7">
        <v>3475204.7165799998</v>
      </c>
      <c r="O88" s="7">
        <v>243219.87700000001</v>
      </c>
      <c r="P88" s="7">
        <v>535201.35800000001</v>
      </c>
      <c r="Q88" s="7">
        <v>340425.07390000002</v>
      </c>
      <c r="R88" s="7">
        <v>99744.469729999997</v>
      </c>
      <c r="S88" s="7">
        <v>60424.441680000004</v>
      </c>
      <c r="T88" s="7">
        <v>250164.17555000001</v>
      </c>
      <c r="U88" s="7">
        <v>104770.122</v>
      </c>
      <c r="V88" s="7">
        <v>172666.96174</v>
      </c>
      <c r="W88" s="7">
        <v>37531.945</v>
      </c>
      <c r="X88" s="7">
        <v>132250.32</v>
      </c>
      <c r="Y88" s="7">
        <v>2884.6967399999999</v>
      </c>
      <c r="Z88" s="7">
        <v>1343119.02987</v>
      </c>
      <c r="AA88" s="7">
        <v>225687.76826000001</v>
      </c>
    </row>
    <row r="89" spans="1:27" ht="28" customHeight="1">
      <c r="A89" s="3" t="str">
        <f>TEXT(DATE(LEFT(B89,3)+1911, MID(B89,5,2), 1), "yyyy-mm")</f>
        <v>2025-04</v>
      </c>
      <c r="B89" s="4" t="s">
        <v>112</v>
      </c>
      <c r="C89" s="6">
        <v>21755672.957649998</v>
      </c>
      <c r="D89" s="7">
        <v>12842434.720389999</v>
      </c>
      <c r="E89" s="7">
        <v>308519.20838999999</v>
      </c>
      <c r="F89" s="7">
        <v>262560.57699999999</v>
      </c>
      <c r="G89" s="7">
        <v>2285062.02715</v>
      </c>
      <c r="H89" s="7">
        <v>349285.61761999998</v>
      </c>
      <c r="I89" s="7">
        <v>468427.69561</v>
      </c>
      <c r="J89" s="7">
        <v>1519229.2769200001</v>
      </c>
      <c r="K89" s="7">
        <v>522332.58928999997</v>
      </c>
      <c r="L89" s="7">
        <v>5549566.75758</v>
      </c>
      <c r="M89" s="7">
        <v>3578716.24162</v>
      </c>
      <c r="N89" s="7">
        <v>3613555.5192100001</v>
      </c>
      <c r="O89" s="7">
        <v>259607.46799999999</v>
      </c>
      <c r="P89" s="7">
        <v>563839.25100000005</v>
      </c>
      <c r="Q89" s="7">
        <v>339225.74508999998</v>
      </c>
      <c r="R89" s="7">
        <v>104325.38595</v>
      </c>
      <c r="S89" s="7">
        <v>61777.256240000002</v>
      </c>
      <c r="T89" s="7">
        <v>263965.73413</v>
      </c>
      <c r="U89" s="7">
        <v>112404.107</v>
      </c>
      <c r="V89" s="7">
        <v>173057.70243999999</v>
      </c>
      <c r="W89" s="7">
        <v>37471.855000000003</v>
      </c>
      <c r="X89" s="7">
        <v>133230.897</v>
      </c>
      <c r="Y89" s="7">
        <v>2354.9504400000001</v>
      </c>
      <c r="Z89" s="7">
        <v>1301633.29727</v>
      </c>
      <c r="AA89" s="7">
        <v>246275.47672000001</v>
      </c>
    </row>
    <row r="90" spans="1:27" ht="28" customHeight="1">
      <c r="A90" s="3" t="str">
        <f>TEXT(DATE(LEFT(B90,3)+1911, MID(B90,5,2), 1), "yyyy-mm")</f>
        <v>2025-05</v>
      </c>
      <c r="B90" s="4" t="s">
        <v>113</v>
      </c>
      <c r="C90" s="6">
        <v>23416323.249439999</v>
      </c>
      <c r="D90" s="7">
        <v>13570472.6557</v>
      </c>
      <c r="E90" s="7">
        <v>312485.44821</v>
      </c>
      <c r="F90" s="7">
        <v>279088.01299999998</v>
      </c>
      <c r="G90" s="7">
        <v>2431345.9044400002</v>
      </c>
      <c r="H90" s="7">
        <v>371535.83685000002</v>
      </c>
      <c r="I90" s="7">
        <v>480203.93317999999</v>
      </c>
      <c r="J90" s="7">
        <v>1550543.7267199999</v>
      </c>
      <c r="K90" s="7">
        <v>539960.94865000003</v>
      </c>
      <c r="L90" s="7">
        <v>5896668.56219</v>
      </c>
      <c r="M90" s="7">
        <v>3765235.3156099999</v>
      </c>
      <c r="N90" s="7">
        <v>4219966.97322</v>
      </c>
      <c r="O90" s="7">
        <v>320072.603</v>
      </c>
      <c r="P90" s="7">
        <v>664007.33100000001</v>
      </c>
      <c r="Q90" s="7">
        <v>371617.95303999999</v>
      </c>
      <c r="R90" s="7">
        <v>123066.66458</v>
      </c>
      <c r="S90" s="7">
        <v>73908.148369999995</v>
      </c>
      <c r="T90" s="7">
        <v>307296.51134000003</v>
      </c>
      <c r="U90" s="7">
        <v>132199.41200000001</v>
      </c>
      <c r="V90" s="7">
        <v>161519.83233</v>
      </c>
      <c r="W90" s="7">
        <v>38227.588000000003</v>
      </c>
      <c r="X90" s="7">
        <v>120855.359</v>
      </c>
      <c r="Y90" s="7">
        <v>2436.8853300000001</v>
      </c>
      <c r="Z90" s="7">
        <v>1424518.82547</v>
      </c>
      <c r="AA90" s="7">
        <v>274609.64711000002</v>
      </c>
    </row>
    <row r="91" spans="1:27" ht="28" customHeight="1">
      <c r="A91" s="3" t="str">
        <f>TEXT(DATE(LEFT(B91,3)+1911, MID(B91,5,2), 1), "yyyy-mm")</f>
        <v>2025-06</v>
      </c>
      <c r="B91" s="4" t="s">
        <v>114</v>
      </c>
      <c r="C91" s="6">
        <v>23953602.6006</v>
      </c>
      <c r="D91" s="7">
        <v>13308101.557469999</v>
      </c>
      <c r="E91" s="7">
        <v>311468.48895999999</v>
      </c>
      <c r="F91" s="7">
        <v>262799.69099999999</v>
      </c>
      <c r="G91" s="7">
        <v>2381928.4637500001</v>
      </c>
      <c r="H91" s="7">
        <v>371394.58013999998</v>
      </c>
      <c r="I91" s="7">
        <v>469528.60126000002</v>
      </c>
      <c r="J91" s="7">
        <v>1370626.2686399999</v>
      </c>
      <c r="K91" s="7">
        <v>540082.06524999999</v>
      </c>
      <c r="L91" s="7">
        <v>5857629.2166299997</v>
      </c>
      <c r="M91" s="7">
        <v>4247240.4020499997</v>
      </c>
      <c r="N91" s="7">
        <v>4489734.3755799998</v>
      </c>
      <c r="O91" s="7">
        <v>337310.55599999998</v>
      </c>
      <c r="P91" s="7">
        <v>716435.3</v>
      </c>
      <c r="Q91" s="7">
        <v>361438.08227000001</v>
      </c>
      <c r="R91" s="7">
        <v>129676.91368</v>
      </c>
      <c r="S91" s="7">
        <v>78862.782260000007</v>
      </c>
      <c r="T91" s="7">
        <v>328889.91609000001</v>
      </c>
      <c r="U91" s="7">
        <v>143300.946</v>
      </c>
      <c r="V91" s="7">
        <v>163235.92133000001</v>
      </c>
      <c r="W91" s="7">
        <v>39107.542999999998</v>
      </c>
      <c r="X91" s="7">
        <v>121690.739</v>
      </c>
      <c r="Y91" s="7">
        <v>2437.63933</v>
      </c>
      <c r="Z91" s="7">
        <v>1451741.86751</v>
      </c>
      <c r="AA91" s="7">
        <v>293548.47665999999</v>
      </c>
    </row>
    <row r="92" spans="1:27" ht="28" customHeight="1">
      <c r="A92" s="3" t="str">
        <f>TEXT(DATE(LEFT(B92,3)+1911, MID(B92,5,2), 1), "yyyy-mm")</f>
        <v>2025-07</v>
      </c>
      <c r="B92" s="4" t="s">
        <v>115</v>
      </c>
      <c r="C92" s="6">
        <v>25629477.147599999</v>
      </c>
      <c r="D92" s="7">
        <v>13826386.439859999</v>
      </c>
      <c r="E92" s="7">
        <v>323414.97204000002</v>
      </c>
      <c r="F92" s="7">
        <v>277329.47399999999</v>
      </c>
      <c r="G92" s="7">
        <v>2431116.8159099999</v>
      </c>
      <c r="H92" s="7">
        <v>382866.83961999998</v>
      </c>
      <c r="I92" s="7">
        <v>476027.96623000002</v>
      </c>
      <c r="J92" s="7">
        <v>1401897.92245</v>
      </c>
      <c r="K92" s="7">
        <v>567740.83790000004</v>
      </c>
      <c r="L92" s="7">
        <v>6114899.8420900004</v>
      </c>
      <c r="M92" s="7">
        <v>5034616.2194400001</v>
      </c>
      <c r="N92" s="7">
        <v>4836614.1773199998</v>
      </c>
      <c r="O92" s="7">
        <v>370464.91499999998</v>
      </c>
      <c r="P92" s="7">
        <v>813166.41899999999</v>
      </c>
      <c r="Q92" s="7">
        <v>388251.06237</v>
      </c>
      <c r="R92" s="7">
        <v>141022.99122</v>
      </c>
      <c r="S92" s="7">
        <v>89360.146160000004</v>
      </c>
      <c r="T92" s="7">
        <v>352437.79733999999</v>
      </c>
      <c r="U92" s="7">
        <v>159274.83300000001</v>
      </c>
      <c r="V92" s="7">
        <v>168775.69561</v>
      </c>
      <c r="W92" s="7">
        <v>40128.002</v>
      </c>
      <c r="X92" s="7">
        <v>126338.868</v>
      </c>
      <c r="Y92" s="7">
        <v>2308.8256099999999</v>
      </c>
      <c r="Z92" s="7">
        <v>1445871.3644399999</v>
      </c>
      <c r="AA92" s="7">
        <v>317213.25092999998</v>
      </c>
    </row>
    <row r="93" spans="1:27" ht="28" customHeight="1">
      <c r="A93" s="3" t="str">
        <f>TEXT(DATE(LEFT(B93,3)+1911, MID(B93,5,2), 1), "yyyy-mm")</f>
        <v>2025-08</v>
      </c>
      <c r="B93" s="4" t="s">
        <v>116</v>
      </c>
      <c r="C93" s="6">
        <v>26177903.65315</v>
      </c>
      <c r="D93" s="7">
        <v>13890580.127870001</v>
      </c>
      <c r="E93" s="7">
        <v>323295.93419</v>
      </c>
      <c r="F93" s="7">
        <v>262745.63900000002</v>
      </c>
      <c r="G93" s="7">
        <v>2377298.7352900002</v>
      </c>
      <c r="H93" s="7">
        <v>374249.82111999998</v>
      </c>
      <c r="I93" s="7">
        <v>475777.52561000001</v>
      </c>
      <c r="J93" s="7">
        <v>1466907.91768</v>
      </c>
      <c r="K93" s="7">
        <v>563337.03503000003</v>
      </c>
      <c r="L93" s="7">
        <v>6211466.1000800002</v>
      </c>
      <c r="M93" s="7">
        <v>5431655.3472199999</v>
      </c>
      <c r="N93" s="7">
        <v>4886755.4908499997</v>
      </c>
      <c r="O93" s="7">
        <v>365070.15</v>
      </c>
      <c r="P93" s="7">
        <v>838818.38899999997</v>
      </c>
      <c r="Q93" s="7">
        <v>396379.32942999998</v>
      </c>
      <c r="R93" s="7">
        <v>149351.82978999999</v>
      </c>
      <c r="S93" s="7">
        <v>88922.698669999998</v>
      </c>
      <c r="T93" s="7">
        <v>354142.33716</v>
      </c>
      <c r="U93" s="7">
        <v>165262.027</v>
      </c>
      <c r="V93" s="7">
        <v>172540.04079</v>
      </c>
      <c r="W93" s="7">
        <v>40698.307000000001</v>
      </c>
      <c r="X93" s="7">
        <v>129414.993</v>
      </c>
      <c r="Y93" s="7">
        <v>2426.7407899999998</v>
      </c>
      <c r="Z93" s="7">
        <v>1476969.33234</v>
      </c>
      <c r="AA93" s="7">
        <v>319403.31407999998</v>
      </c>
    </row>
    <row r="94" spans="1:27" ht="28" customHeight="1">
      <c r="A94" s="3" t="str">
        <f>TEXT(DATE(LEFT(B94,3)+1911, MID(B94,5,2), 1), "yyyy-mm")</f>
        <v>2025-09</v>
      </c>
      <c r="B94" s="4" t="s">
        <v>117</v>
      </c>
      <c r="C94" s="6">
        <v>26054921.70899</v>
      </c>
      <c r="D94" s="7">
        <v>13481007.000159999</v>
      </c>
      <c r="E94" s="7">
        <v>315213.11180999997</v>
      </c>
      <c r="F94" s="7">
        <v>271615.97700000001</v>
      </c>
      <c r="G94" s="7">
        <v>2328658.3549700002</v>
      </c>
      <c r="H94" s="7">
        <v>363736.23548999999</v>
      </c>
      <c r="I94" s="7">
        <v>462598.93527999998</v>
      </c>
      <c r="J94" s="7">
        <v>1406143.4784299999</v>
      </c>
      <c r="K94" s="7">
        <v>542844.89052000002</v>
      </c>
      <c r="L94" s="7">
        <v>5977575.1036499999</v>
      </c>
      <c r="M94" s="7">
        <v>5656986.2565200003</v>
      </c>
      <c r="N94" s="7">
        <v>4914974.2403600002</v>
      </c>
      <c r="O94" s="7">
        <v>359471.185</v>
      </c>
      <c r="P94" s="7">
        <v>828757.125</v>
      </c>
      <c r="Q94" s="7">
        <v>387338.11960999999</v>
      </c>
      <c r="R94" s="7">
        <v>149343.08308000001</v>
      </c>
      <c r="S94" s="7">
        <v>91924.441160000002</v>
      </c>
      <c r="T94" s="7">
        <v>345303.84551000001</v>
      </c>
      <c r="U94" s="7">
        <v>159455.196</v>
      </c>
      <c r="V94" s="7">
        <v>168149.06396</v>
      </c>
      <c r="W94" s="7">
        <v>41871.154999999999</v>
      </c>
      <c r="X94" s="7">
        <v>124043.84699999999</v>
      </c>
      <c r="Y94" s="7">
        <v>2234.06196</v>
      </c>
      <c r="Z94" s="7">
        <v>1517903.5874699999</v>
      </c>
      <c r="AA94" s="7">
        <v>315901.56052</v>
      </c>
    </row>
    <row r="95" spans="1:27" ht="28" customHeight="1">
      <c r="A95" s="3" t="str">
        <f>TEXT(DATE(LEFT(B95,3)+1911, MID(B95,5,2), 1), "yyyy-mm")</f>
        <v>2025-10</v>
      </c>
      <c r="B95" s="4" t="s">
        <v>118</v>
      </c>
      <c r="C95" s="6">
        <v>26373338.5275</v>
      </c>
      <c r="D95" s="7">
        <v>13887847.145260001</v>
      </c>
      <c r="E95" s="7">
        <v>303132.57348999998</v>
      </c>
      <c r="F95" s="7">
        <v>282345.74699999997</v>
      </c>
      <c r="G95" s="7">
        <v>2358895.8580100001</v>
      </c>
      <c r="H95" s="7">
        <v>362666.04989999998</v>
      </c>
      <c r="I95" s="7">
        <v>457048.62907000002</v>
      </c>
      <c r="J95" s="7">
        <v>1416960.4689199999</v>
      </c>
      <c r="K95" s="7">
        <v>538779.67471000005</v>
      </c>
      <c r="L95" s="7">
        <v>6368301.0735799996</v>
      </c>
      <c r="M95" s="7">
        <v>5642705.1453</v>
      </c>
      <c r="N95" s="7">
        <v>4896333.1359900003</v>
      </c>
      <c r="O95" s="7">
        <v>362307.46399999998</v>
      </c>
      <c r="P95" s="7">
        <v>845554.63800000004</v>
      </c>
      <c r="Q95" s="7">
        <v>398625.84447000001</v>
      </c>
      <c r="R95" s="7">
        <v>144697.47917000001</v>
      </c>
      <c r="S95" s="7">
        <v>86615.942519999997</v>
      </c>
      <c r="T95" s="7">
        <v>341320.36194999999</v>
      </c>
      <c r="U95" s="7">
        <v>160550.76300000001</v>
      </c>
      <c r="V95" s="7">
        <v>168693.43887000001</v>
      </c>
      <c r="W95" s="7">
        <v>42350.406999999999</v>
      </c>
      <c r="X95" s="7">
        <v>124011.501</v>
      </c>
      <c r="Y95" s="7">
        <v>2331.53087</v>
      </c>
      <c r="Z95" s="7">
        <v>1438490.7764000001</v>
      </c>
      <c r="AA95" s="7">
        <v>339268.88568000001</v>
      </c>
    </row>
    <row r="96" spans="1:27" ht="28" customHeight="1">
      <c r="A96" s="3" t="str">
        <f>TEXT(DATE(LEFT(B96,3)+1911, MID(B96,5,2), 1), "yyyy-mm")</f>
        <v>2025-11</v>
      </c>
      <c r="B96" s="4" t="s">
        <v>119</v>
      </c>
      <c r="C96" s="6">
        <v>24381979.676890001</v>
      </c>
      <c r="D96" s="7">
        <v>12973660.80226</v>
      </c>
      <c r="E96" s="7">
        <v>284138.70408</v>
      </c>
      <c r="F96" s="7">
        <v>263169.72600000002</v>
      </c>
      <c r="G96" s="7">
        <v>2253115.0095700002</v>
      </c>
      <c r="H96" s="7">
        <v>342192.36657999997</v>
      </c>
      <c r="I96" s="7">
        <v>432476.88037999999</v>
      </c>
      <c r="J96" s="7">
        <v>1316388.4427199999</v>
      </c>
      <c r="K96" s="7">
        <v>505443.12141999998</v>
      </c>
      <c r="L96" s="7">
        <v>5946634.7627499998</v>
      </c>
      <c r="M96" s="7">
        <v>5306067.9351700004</v>
      </c>
      <c r="N96" s="7">
        <v>4328759.5567600001</v>
      </c>
      <c r="O96" s="7">
        <v>293190.36900000001</v>
      </c>
      <c r="P96" s="7">
        <v>757725.97699999996</v>
      </c>
      <c r="Q96" s="7">
        <v>364779.99287000002</v>
      </c>
      <c r="R96" s="7">
        <v>119722.48762</v>
      </c>
      <c r="S96" s="7">
        <v>77043.563399999999</v>
      </c>
      <c r="T96" s="7">
        <v>284666.17356999998</v>
      </c>
      <c r="U96" s="7">
        <v>137341.93599999999</v>
      </c>
      <c r="V96" s="7">
        <v>177648.39480000001</v>
      </c>
      <c r="W96" s="7">
        <v>43345.197</v>
      </c>
      <c r="X96" s="7">
        <v>132183.68299999999</v>
      </c>
      <c r="Y96" s="7">
        <v>2119.5147999999999</v>
      </c>
      <c r="Z96" s="7">
        <v>1297528.98172</v>
      </c>
      <c r="AA96" s="7">
        <v>298314.00618000003</v>
      </c>
    </row>
    <row r="97" spans="1:27" ht="28" customHeight="1">
      <c r="A97" s="3" t="str">
        <f>TEXT(DATE(LEFT(B97,3)+1911, MID(B97,5,2), 1), "yyyy-mm")</f>
        <v>2025-12</v>
      </c>
      <c r="B97" s="4" t="s">
        <v>120</v>
      </c>
      <c r="C97" s="6">
        <v>22362672.205279998</v>
      </c>
      <c r="D97" s="7">
        <v>13054708.130310001</v>
      </c>
      <c r="E97" s="7">
        <v>287200.55281999998</v>
      </c>
      <c r="F97" s="7">
        <v>275127.522</v>
      </c>
      <c r="G97" s="7">
        <v>2250705.1752900002</v>
      </c>
      <c r="H97" s="7">
        <v>351746.24248999998</v>
      </c>
      <c r="I97" s="7">
        <v>464504.37206999998</v>
      </c>
      <c r="J97" s="7">
        <v>1365877.83608</v>
      </c>
      <c r="K97" s="7">
        <v>518080.11777000001</v>
      </c>
      <c r="L97" s="7">
        <v>5924354.9177999999</v>
      </c>
      <c r="M97" s="7">
        <v>3931499.6854400001</v>
      </c>
      <c r="N97" s="7">
        <v>3686744.1086200001</v>
      </c>
      <c r="O97" s="7">
        <v>270672.24200000003</v>
      </c>
      <c r="P97" s="7">
        <v>617042.85499999998</v>
      </c>
      <c r="Q97" s="7">
        <v>355366.35787000001</v>
      </c>
      <c r="R97" s="7">
        <v>108644.91834</v>
      </c>
      <c r="S97" s="7">
        <v>65453.574390000002</v>
      </c>
      <c r="T97" s="7">
        <v>260541.15950000001</v>
      </c>
      <c r="U97" s="7">
        <v>117036.149</v>
      </c>
      <c r="V97" s="7">
        <v>183168.61859999999</v>
      </c>
      <c r="W97" s="7">
        <v>45856.504999999997</v>
      </c>
      <c r="X97" s="7">
        <v>134960.894</v>
      </c>
      <c r="Y97" s="7">
        <v>2351.2195999999999</v>
      </c>
      <c r="Z97" s="7">
        <v>1254789.65414</v>
      </c>
      <c r="AA97" s="7">
        <v>251762.00816999999</v>
      </c>
    </row>
    <row r="98" spans="1:27" ht="28" customHeight="1">
      <c r="A98" s="3" t="str">
        <f>TEXT(DATE(LEFT(B98,3)+1911, MID(B98,5,2), 1), "yyyy-mm")</f>
        <v>2026-01</v>
      </c>
      <c r="B98" s="4" t="s">
        <v>121</v>
      </c>
      <c r="C98" s="6">
        <v>21782489.409049999</v>
      </c>
      <c r="D98" s="7">
        <v>12931512.96871</v>
      </c>
      <c r="E98" s="7">
        <v>285201.87901999999</v>
      </c>
      <c r="F98" s="7">
        <v>262910.57400000002</v>
      </c>
      <c r="G98" s="7">
        <v>2359387.03657</v>
      </c>
      <c r="H98" s="7">
        <v>353522.97435999999</v>
      </c>
      <c r="I98" s="7">
        <v>468251.66196</v>
      </c>
      <c r="J98" s="7">
        <v>1387090.51351</v>
      </c>
      <c r="K98" s="7">
        <v>506242.44721999997</v>
      </c>
      <c r="L98" s="7">
        <v>5696912.0037700003</v>
      </c>
      <c r="M98" s="7">
        <v>3539879.44307</v>
      </c>
      <c r="N98" s="7">
        <v>3546716.0665500001</v>
      </c>
      <c r="O98" s="7">
        <v>249945.62100000001</v>
      </c>
      <c r="P98" s="7">
        <v>569797.83600000001</v>
      </c>
      <c r="Q98" s="7">
        <v>348417.03220000002</v>
      </c>
      <c r="R98" s="7">
        <v>100522.50827999999</v>
      </c>
      <c r="S98" s="7">
        <v>61827.362690000002</v>
      </c>
      <c r="T98" s="7">
        <v>243786.01006999999</v>
      </c>
      <c r="U98" s="7">
        <v>108455.371</v>
      </c>
      <c r="V98" s="7">
        <v>180580.73167000001</v>
      </c>
      <c r="W98" s="7">
        <v>46031.004999999997</v>
      </c>
      <c r="X98" s="7">
        <v>132197.226</v>
      </c>
      <c r="Y98" s="7">
        <v>2352.5006699999999</v>
      </c>
      <c r="Z98" s="7">
        <v>1347692.46955</v>
      </c>
      <c r="AA98" s="7">
        <v>236107.72949999999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C1:AA98 B2:B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電力消費(千度(MWh))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Audi</cp:lastModifiedBy>
  <dcterms:modified xsi:type="dcterms:W3CDTF">2026-03-26T12:40:51Z</dcterms:modified>
</cp:coreProperties>
</file>
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341-01-04" sheetId="2" r:id="rId6"/>
  </sheets>
  <definedNames/>
  <calcPr/>
</workbook>
</file>

<file path=xl/sharedStrings.xml><?xml version="1.0" encoding="utf-8"?>
<sst xmlns="http://schemas.openxmlformats.org/spreadsheetml/2006/main" count="111" uniqueCount="67">
  <si>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</si>
  <si>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</si>
  <si>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</si>
  <si>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</si>
  <si>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</si>
  <si>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</si>
  <si>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</si>
  <si>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</si>
  <si>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</si>
  <si>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</si>
  <si>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</si>
  <si>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</si>
  <si>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</si>
  <si>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</si>
  <si>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</si>
  <si>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</si>
  <si>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</si>
  <si>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</si>
  <si>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</si>
  <si>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</si>
  <si>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</si>
  <si>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</si>
  <si>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</si>
  <si>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</si>
  <si>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</si>
  <si>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</si>
  <si>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</si>
  <si>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</si>
  <si>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</si>
  <si>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</si>
  <si>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</si>
  <si>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</si>
  <si>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</si>
  <si>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</si>
  <si>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</si>
  <si>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</si>
  <si>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</si>
  <si>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</si>
  <si>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</si>
  <si>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</si>
  <si>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</si>
  <si>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</si>
  <si>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</si>
  <si>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</si>
  <si>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</si>
  <si>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</si>
  <si>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</si>
  <si>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</si>
  <si>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</si>
  <si>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</si>
  <si>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</si>
  <si>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</si>
  <si>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</si>
  <si>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</si>
  <si>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</si>
  <si>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</si>
  <si>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</si>
  <si>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</si>
  <si>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</si>
  <si>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</si>
  <si>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</si>
  <si>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</si>
  <si>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</si>
  <si>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中華民國112年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</si>
  <si>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113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6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13</t>
    </r>
    <r>
      <rPr>
        <rFont val="標楷體"/>
        <color rgb="FF000000"/>
        <sz val="12.0"/>
      </rPr>
      <t>日修正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</si>
  <si>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</si>
  <si>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>修正說明：連江縣自來水廠修正112年底實際供水人數資料。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</si>
</sst>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809625</xdr:colOff>
      <xdr:row>29</xdr:row>
      <xdr:rowOff>9525</xdr:rowOff>
    </xdr:from>
    <xdr:ext cx="390525" cy="314325"/>
    <xdr:sp>
      <xdr:nvSpPr>
        <xdr:cNvPr id="3" name="Shape 3"/>
        <xdr:cNvSpPr/>
      </xdr:nvSpPr>
      <xdr:spPr>
        <a:xfrm>
          <a:off x="5155500" y="3627600"/>
          <a:ext cx="381000" cy="3048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447675</xdr:colOff>
      <xdr:row>29</xdr:row>
      <xdr:rowOff>9525</xdr:rowOff>
    </xdr:from>
    <xdr:ext cx="390525" cy="314325"/>
    <xdr:sp>
      <xdr:nvSpPr>
        <xdr:cNvPr id="4" name="Shape 4"/>
        <xdr:cNvSpPr/>
      </xdr:nvSpPr>
      <xdr:spPr>
        <a:xfrm>
          <a:off x="5155500" y="3627600"/>
          <a:ext cx="381000" cy="3048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752475</xdr:colOff>
      <xdr:row>7</xdr:row>
      <xdr:rowOff>0</xdr:rowOff>
    </xdr:from>
    <xdr:ext cx="390525" cy="314325"/>
    <xdr:sp>
      <xdr:nvSpPr>
        <xdr:cNvPr id="5" name="Shape 5"/>
        <xdr:cNvSpPr/>
      </xdr:nvSpPr>
      <xdr:spPr>
        <a:xfrm>
          <a:off x="5155500" y="3627600"/>
          <a:ext cx="381000" cy="304800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 strike="noStrike">
              <a:solidFill>
                <a:srgbClr val="000000"/>
              </a:solidFill>
              <a:latin typeface="DFKai-SB"/>
              <a:ea typeface="DFKai-SB"/>
              <a:cs typeface="DFKai-SB"/>
              <a:sym typeface="DFKai-SB"/>
            </a:rPr>
            <a:t>®</a:t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33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89"/>
    <col customWidth="1" min="20" max="20" width="9.56"/>
    <col customWidth="1" min="21" max="22" width="9.11"/>
    <col customWidth="1" min="23" max="26" width="8.56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34">
        <f>T8-'2341-01-04'!E8</f>
        <v>17875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34">
        <f>T9-'2341-01-04'!E9</f>
        <v>6660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34">
        <f>T10-'2341-01-04'!E10</f>
        <v>126689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34">
        <f>T11-'2341-01-04'!E11</f>
        <v>-78618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34">
        <f>T12-'2341-01-04'!E12</f>
        <v>-21521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34">
        <f>T13-'2341-01-04'!E13</f>
        <v>21468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34">
        <f>T14-'2341-01-04'!E14</f>
        <v>21971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34">
        <f>T15-'2341-01-04'!E15</f>
        <v>3148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34">
        <f>T16-'2341-01-04'!E16</f>
        <v>-32138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34">
        <f>T17-'2341-01-04'!E17</f>
        <v>-7646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34">
        <f>T18-'2341-01-04'!E18</f>
        <v>14876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34">
        <f>T19-'2341-01-04'!E19</f>
        <v>6336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34">
        <f>T20-'2341-01-04'!E20</f>
        <v>12557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34">
        <f>T21-'2341-01-04'!E21</f>
        <v>8838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34">
        <f>T22-'2341-01-04'!E22</f>
        <v>-65653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34">
        <f>T23-'2341-01-04'!E23</f>
        <v>-2122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34">
        <f>T24-'2341-01-04'!E24</f>
        <v>2078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34">
        <f>T25-'2341-01-04'!E25</f>
        <v>-1278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34">
        <f>T26-'2341-01-04'!E26</f>
        <v>6121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34">
        <f>T27-'2341-01-04'!E27</f>
        <v>-4623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34">
        <f>T28-'2341-01-04'!E28</f>
        <v>3458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34">
        <f>T29-'2341-01-04'!E29</f>
        <v>-2209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34">
        <f>T30-'2341-01-04'!E30</f>
        <v>-517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3.2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1.2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8" width="9.11"/>
    <col customWidth="1" min="9" max="9" width="10.0"/>
    <col customWidth="1" min="10" max="26" width="8.56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62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4" t="s">
        <v>63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2333581899</v>
      </c>
      <c r="E8" s="32">
        <v>2.2295839E7</v>
      </c>
      <c r="F8" s="33">
        <f t="shared" ref="F8:F30" si="1">D8/E8/365*1000</f>
        <v>286.751939</v>
      </c>
      <c r="G8" s="11"/>
      <c r="H8" s="28"/>
      <c r="I8" s="3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75">
        <f>298339805+141600849</f>
        <v>439940654</v>
      </c>
      <c r="E9" s="75">
        <v>3934831.0</v>
      </c>
      <c r="F9" s="54">
        <f t="shared" si="1"/>
        <v>306.3198547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7" t="s">
        <v>27</v>
      </c>
      <c r="C10" s="38"/>
      <c r="D10" s="75">
        <v>3.06291068E8</v>
      </c>
      <c r="E10" s="53">
        <v>2491791.0</v>
      </c>
      <c r="F10" s="54">
        <f t="shared" si="1"/>
        <v>336.7672533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3">
        <v>2.21908491E8</v>
      </c>
      <c r="E11" s="53">
        <v>2246422.0</v>
      </c>
      <c r="F11" s="54">
        <f t="shared" si="1"/>
        <v>270.6385837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3">
        <v>2.85546106E8</v>
      </c>
      <c r="E12" s="53">
        <v>2732098.0</v>
      </c>
      <c r="F12" s="54">
        <f t="shared" si="1"/>
        <v>286.3433518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3">
        <v>1.85336487E8</v>
      </c>
      <c r="E13" s="53">
        <v>1838831.0</v>
      </c>
      <c r="F13" s="54">
        <f t="shared" si="1"/>
        <v>276.1380449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3">
        <v>2.69115798E8</v>
      </c>
      <c r="E14" s="53">
        <v>2647016.0</v>
      </c>
      <c r="F14" s="54">
        <f t="shared" si="1"/>
        <v>278.5414052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3">
        <v>4.7089918E7</v>
      </c>
      <c r="E15" s="53">
        <v>430688.0</v>
      </c>
      <c r="F15" s="54">
        <f t="shared" si="1"/>
        <v>299.5520515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3">
        <v>5.2501804E7</v>
      </c>
      <c r="E16" s="53">
        <v>532100.0</v>
      </c>
      <c r="F16" s="54">
        <f t="shared" si="1"/>
        <v>270.3261772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3">
        <v>4.5029688E7</v>
      </c>
      <c r="E17" s="53">
        <v>464625.0</v>
      </c>
      <c r="F17" s="54">
        <f t="shared" si="1"/>
        <v>265.5238272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3">
        <v>1.00743121E8</v>
      </c>
      <c r="E18" s="53">
        <v>1181404.0</v>
      </c>
      <c r="F18" s="54">
        <f t="shared" si="1"/>
        <v>233.6275742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3">
        <v>3.9465812E7</v>
      </c>
      <c r="E19" s="53">
        <v>391627.0</v>
      </c>
      <c r="F19" s="54">
        <f t="shared" si="1"/>
        <v>276.0930996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3">
        <v>6.3854848E7</v>
      </c>
      <c r="E20" s="53">
        <v>630105.0</v>
      </c>
      <c r="F20" s="54">
        <f t="shared" si="1"/>
        <v>277.6438674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3">
        <v>4.4182483E7</v>
      </c>
      <c r="E21" s="53">
        <v>448199.0</v>
      </c>
      <c r="F21" s="54">
        <f t="shared" si="1"/>
        <v>270.0762354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3">
        <v>4.7598423E7</v>
      </c>
      <c r="E22" s="53">
        <v>537130.0</v>
      </c>
      <c r="F22" s="54">
        <f t="shared" si="1"/>
        <v>242.7841274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3">
        <v>1.927612E7</v>
      </c>
      <c r="E23" s="53">
        <v>181755.0</v>
      </c>
      <c r="F23" s="54">
        <f t="shared" si="1"/>
        <v>290.5630529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3">
        <v>3.0864612E7</v>
      </c>
      <c r="E24" s="53">
        <v>286608.0</v>
      </c>
      <c r="F24" s="54">
        <f t="shared" si="1"/>
        <v>295.0391504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3">
        <v>8816724.0</v>
      </c>
      <c r="E25" s="53">
        <v>99976.0</v>
      </c>
      <c r="F25" s="54">
        <f t="shared" si="1"/>
        <v>241.6120691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3">
        <v>3.8930738E7</v>
      </c>
      <c r="E26" s="53">
        <v>360109.0</v>
      </c>
      <c r="F26" s="54">
        <f t="shared" si="1"/>
        <v>296.1868661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3">
        <v>5.2270646E7</v>
      </c>
      <c r="E27" s="53">
        <v>450662.0</v>
      </c>
      <c r="F27" s="54">
        <f t="shared" si="1"/>
        <v>317.7708556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3">
        <v>2.7929377E7</v>
      </c>
      <c r="E28" s="54">
        <v>263066.0</v>
      </c>
      <c r="F28" s="54">
        <f t="shared" si="1"/>
        <v>290.8731691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5991016.0</v>
      </c>
      <c r="E29" s="53">
        <v>134944.0</v>
      </c>
      <c r="F29" s="54">
        <f t="shared" si="1"/>
        <v>121.633733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76">
        <v>897965.0</v>
      </c>
      <c r="E30" s="57">
        <v>11856.0</v>
      </c>
      <c r="F30" s="58">
        <f t="shared" si="1"/>
        <v>207.504899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64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2.0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4.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65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66" t="s">
        <v>66</v>
      </c>
      <c r="B42" s="3"/>
      <c r="C42" s="66"/>
      <c r="D42" s="3"/>
      <c r="E42" s="3"/>
      <c r="F42" s="3"/>
      <c r="G42" s="3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472222222222222"/>
  <pageSetup paperSize="9" orientation="portrait"/>
  <drawing r:id="rId1"/>
</worksheet>
</file>
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8)" sheetId="1" r:id="rId5"/>
    <sheet state="visible" name="2341-01-04(110完)" sheetId="2" r:id="rId6"/>
  </sheets>
  <definedNames/>
  <calcPr/>
</workbook>
</file>

<file path=xl/sharedStrings.xml><?xml version="1.0" encoding="utf-8"?>
<sst xmlns="http://schemas.openxmlformats.org/spreadsheetml/2006/main" count="110" uniqueCount="65">
  <si>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</si>
  <si>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</si>
  <si>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</si>
  <si>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</si>
  <si>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</si>
  <si>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</si>
  <si>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</si>
  <si>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</t>
  </si>
  <si>
    <t xml:space="preserve">中華民國 108 年 </t>
  </si>
  <si>
    <t>實際供水人數</t>
  </si>
  <si>
    <t>縣市別</t>
  </si>
  <si>
    <t>生活用水量
(立方公尺)</t>
  </si>
  <si>
    <t>年中供水人數
(人)</t>
  </si>
  <si>
    <t>每人每日生活用水量
(公升)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</si>
  <si>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</si>
  <si>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</si>
  <si>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</si>
  <si>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</si>
  <si>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</si>
  <si>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</si>
  <si>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</si>
  <si>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</si>
  <si>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108年中</t>
  </si>
  <si>
    <t>109年年中</t>
  </si>
  <si>
    <t>總 計</t>
  </si>
  <si>
    <t>新北市</t>
  </si>
  <si>
    <t>總計及新北市以此計算填列 不採合計數或報表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</si>
  <si>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</si>
  <si>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</si>
  <si>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</si>
  <si>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</si>
  <si>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</si>
  <si>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</si>
  <si>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</si>
  <si>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</si>
  <si>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</si>
  <si>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</si>
  <si>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</si>
  <si>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</si>
  <si>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</si>
  <si>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</si>
  <si>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</si>
  <si>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</si>
  <si>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</si>
  <si>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</si>
  <si>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</si>
  <si>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</si>
  <si>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</si>
  <si>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</si>
  <si>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</si>
  <si>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</si>
  <si>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</si>
  <si>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108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11</t>
    </r>
    <r>
      <rPr>
        <rFont val="標楷體"/>
        <color rgb="FF000000"/>
        <sz val="12.0"/>
      </rPr>
      <t>日編製</t>
    </r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</si>
  <si>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</si>
  <si>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</si>
  <si>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</si>
  <si>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</si>
  <si>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</si>
  <si>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</si>
  <si>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</si>
  <si>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</si>
  <si>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</si>
  <si>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 xml:space="preserve">中華民國 110年 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</si>
  <si>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111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4</t>
    </r>
    <r>
      <rPr>
        <rFont val="標楷體"/>
        <color rgb="FF000000"/>
        <sz val="12.0"/>
      </rPr>
      <t>日編製</t>
    </r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</si>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</sst>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\ ;[RED]\(0.00\)"/>
    <numFmt numFmtId="165" formatCode="#,##0\ ;[RED]\(#,##0\)"/>
    <numFmt numFmtId="166" formatCode="#,##0\ "/>
    <numFmt numFmtId="167" formatCode="\ * #,##0\ ;\-* #,##0\ ;\ * &quot;- &quot;;\ @\ "/>
    <numFmt numFmtId="168" formatCode="\ * #,##0.00\ ;\-* #,##0.00\ ;\ * \-#\ ;\ @\ "/>
  </numFmts>
  <fonts count="17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2.0"/>
      <color rgb="FFFF0000"/>
      <name val="DFKai-SB"/>
    </font>
    <font>
      <sz val="12.0"/>
      <color theme="1"/>
      <name val="Times New Roman"/>
    </font>
    <font>
      <sz val="10.0"/>
      <color rgb="FF000000"/>
      <name val="DFKai-SB"/>
    </font>
    <font>
      <sz val="11.0"/>
      <color rgb="FF000000"/>
      <name val="PMingLiu"/>
    </font>
    <font>
      <sz val="11.0"/>
      <color theme="1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</border>
    <border>
      <left/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7" fillId="2" fontId="4" numFmtId="0" xfId="0" applyAlignment="1" applyBorder="1" applyFill="1" applyFont="1">
      <alignment horizontal="center" shrinkToFit="0" vertical="bottom" wrapText="0"/>
    </xf>
    <xf borderId="8" fillId="0" fontId="2" numFmtId="0" xfId="0" applyBorder="1" applyFont="1"/>
    <xf borderId="9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5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0" fillId="0" fontId="11" numFmtId="165" xfId="0" applyAlignment="1" applyFont="1" applyNumberFormat="1">
      <alignment horizontal="right" shrinkToFit="0" vertical="center" wrapText="0"/>
    </xf>
    <xf borderId="6" fillId="0" fontId="11" numFmtId="165" xfId="0" applyAlignment="1" applyBorder="1" applyFont="1" applyNumberFormat="1">
      <alignment horizontal="right" shrinkToFit="0" vertical="bottom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15" fillId="3" fontId="10" numFmtId="0" xfId="0" applyAlignment="1" applyBorder="1" applyFill="1" applyFont="1">
      <alignment shrinkToFit="0" vertical="center" wrapText="0"/>
    </xf>
    <xf borderId="0" fillId="0" fontId="3" numFmtId="167" xfId="0" applyAlignment="1" applyFont="1" applyNumberFormat="1">
      <alignment horizontal="center" shrinkToFit="0" vertical="bottom" wrapText="0"/>
    </xf>
    <xf borderId="16" fillId="0" fontId="2" numFmtId="0" xfId="0" applyBorder="1" applyFont="1"/>
    <xf borderId="15" fillId="3" fontId="11" numFmtId="165" xfId="0" applyAlignment="1" applyBorder="1" applyFont="1" applyNumberFormat="1">
      <alignment horizontal="right" shrinkToFit="0" vertical="center" wrapText="0"/>
    </xf>
    <xf borderId="0" fillId="0" fontId="11" numFmtId="165" xfId="0" applyAlignment="1" applyFont="1" applyNumberFormat="1">
      <alignment horizontal="right" shrinkToFit="0" vertical="bottom" wrapText="0"/>
    </xf>
    <xf borderId="15" fillId="4" fontId="10" numFmtId="165" xfId="0" applyAlignment="1" applyBorder="1" applyFill="1" applyFont="1" applyNumberFormat="1">
      <alignment shrinkToFit="0" vertical="center" wrapText="0"/>
    </xf>
    <xf borderId="15" fillId="3" fontId="10" numFmtId="165" xfId="0" applyAlignment="1" applyBorder="1" applyFont="1" applyNumberFormat="1">
      <alignment shrinkToFit="0" vertical="center" wrapText="0"/>
    </xf>
    <xf borderId="15" fillId="3" fontId="10" numFmtId="166" xfId="0" applyAlignment="1" applyBorder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17" fillId="3" fontId="11" numFmtId="165" xfId="0" applyAlignment="1" applyBorder="1" applyFont="1" applyNumberFormat="1">
      <alignment horizontal="right" shrinkToFit="0" vertical="bottom" wrapText="0"/>
    </xf>
    <xf borderId="18" fillId="0" fontId="2" numFmtId="0" xfId="0" applyBorder="1" applyFont="1"/>
    <xf borderId="0" fillId="0" fontId="10" numFmtId="165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center" shrinkToFit="0" vertical="center" wrapText="0"/>
    </xf>
    <xf borderId="0" fillId="0" fontId="13" numFmtId="165" xfId="0" applyAlignment="1" applyFont="1" applyNumberFormat="1">
      <alignment shrinkToFit="0" vertical="bottom" wrapText="0"/>
    </xf>
    <xf borderId="0" fillId="0" fontId="13" numFmtId="165" xfId="0" applyAlignment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center" shrinkToFit="0" vertical="center" wrapText="0"/>
    </xf>
    <xf borderId="19" fillId="0" fontId="2" numFmtId="0" xfId="0" applyBorder="1" applyFont="1"/>
    <xf borderId="5" fillId="0" fontId="13" numFmtId="165" xfId="0" applyAlignment="1" applyBorder="1" applyFont="1" applyNumberFormat="1">
      <alignment shrinkToFit="0" vertical="bottom" wrapText="0"/>
    </xf>
    <xf borderId="5" fillId="0" fontId="13" numFmtId="165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0" fillId="0" fontId="13" numFmtId="165" xfId="0" applyAlignment="1" applyFont="1" applyNumberFormat="1">
      <alignment horizontal="right" shrinkToFit="0" vertical="center" wrapText="0"/>
    </xf>
    <xf borderId="5" fillId="0" fontId="11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9" width="9.11"/>
    <col customWidth="1" hidden="1" min="10" max="10" width="13.44"/>
    <col customWidth="1" hidden="1" min="11" max="11" width="16.44"/>
    <col customWidth="1" hidden="1" min="12" max="14" width="13.22"/>
    <col customWidth="1" min="15" max="15" width="20.0"/>
    <col customWidth="1" min="16" max="17" width="17.33"/>
    <col customWidth="1" min="18" max="18" width="13.67"/>
    <col customWidth="1" min="19" max="19" width="12.78"/>
    <col customWidth="1" min="20" max="20" width="9.67"/>
    <col customWidth="1" min="21" max="22" width="9.11"/>
    <col customWidth="1" min="23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2"/>
      <c r="U4" s="12"/>
      <c r="V4" s="12"/>
      <c r="W4" s="12"/>
      <c r="X4" s="12"/>
      <c r="Y4" s="12"/>
      <c r="Z4" s="12"/>
    </row>
    <row r="5" ht="19.5" customHeight="1">
      <c r="A5" s="14" t="s">
        <v>8</v>
      </c>
      <c r="B5" s="15"/>
      <c r="C5" s="15"/>
      <c r="D5" s="15"/>
      <c r="E5" s="15"/>
      <c r="F5" s="15"/>
      <c r="G5" s="16"/>
      <c r="H5" s="17"/>
      <c r="I5" s="17"/>
      <c r="J5" s="17"/>
      <c r="K5" s="17"/>
      <c r="L5" s="17"/>
      <c r="M5" s="17"/>
      <c r="N5" s="17"/>
      <c r="O5" s="18" t="s">
        <v>9</v>
      </c>
      <c r="P5" s="17"/>
      <c r="Q5" s="17"/>
      <c r="R5" s="17"/>
      <c r="S5" s="19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 t="s">
        <v>14</v>
      </c>
      <c r="K6" s="23" t="s">
        <v>15</v>
      </c>
      <c r="L6" s="23" t="s">
        <v>16</v>
      </c>
      <c r="M6" s="23" t="s">
        <v>17</v>
      </c>
      <c r="N6" s="23" t="s">
        <v>18</v>
      </c>
      <c r="O6" s="23" t="s">
        <v>19</v>
      </c>
      <c r="P6" s="23" t="s">
        <v>20</v>
      </c>
      <c r="Q6" s="23" t="s">
        <v>21</v>
      </c>
      <c r="R6" s="23" t="s">
        <v>22</v>
      </c>
      <c r="S6" s="24"/>
      <c r="T6" s="23" t="s">
        <v>23</v>
      </c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2305588811</v>
      </c>
      <c r="E8" s="32">
        <f>R8</f>
        <v>22242904.5</v>
      </c>
      <c r="F8" s="33">
        <f t="shared" ref="F8:F30" si="2">D8/E8/365*1000</f>
        <v>283.9863685</v>
      </c>
      <c r="G8" s="11"/>
      <c r="H8" s="28"/>
      <c r="I8" s="28"/>
      <c r="J8" s="34">
        <f t="shared" ref="J8:Q8" si="1">SUM(J9:J30)</f>
        <v>21721711</v>
      </c>
      <c r="K8" s="34">
        <f t="shared" si="1"/>
        <v>21825979</v>
      </c>
      <c r="L8" s="34">
        <f t="shared" si="1"/>
        <v>21953057</v>
      </c>
      <c r="M8" s="34">
        <f t="shared" si="1"/>
        <v>22059541</v>
      </c>
      <c r="N8" s="34">
        <f t="shared" si="1"/>
        <v>22136461</v>
      </c>
      <c r="O8" s="34">
        <f t="shared" si="1"/>
        <v>22207548</v>
      </c>
      <c r="P8" s="34">
        <f t="shared" si="1"/>
        <v>22278261</v>
      </c>
      <c r="Q8" s="34">
        <f t="shared" si="1"/>
        <v>22349167</v>
      </c>
      <c r="R8" s="35">
        <f t="shared" ref="R8:R28" si="3">(O8+P8)/2</f>
        <v>22242904.5</v>
      </c>
      <c r="S8" s="29">
        <f t="shared" ref="S8:S30" si="4">E8-R8</f>
        <v>0</v>
      </c>
      <c r="T8" s="36">
        <f t="shared" ref="T8:T30" si="5">ROUND((P8+Q8)/2,0)</f>
        <v>22313714</v>
      </c>
      <c r="U8" s="34">
        <f>T8-'2341-01-04(110完)'!E8</f>
        <v>23330</v>
      </c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32">
        <v>4.38772501E8</v>
      </c>
      <c r="E9" s="39">
        <v>3921865.0</v>
      </c>
      <c r="F9" s="40">
        <f t="shared" si="2"/>
        <v>306.5165275</v>
      </c>
      <c r="H9" s="28"/>
      <c r="I9" s="28"/>
      <c r="J9" s="34">
        <f>2610278+1245102</f>
        <v>3855380</v>
      </c>
      <c r="K9" s="34">
        <f>2627472+1243047</f>
        <v>3870519</v>
      </c>
      <c r="L9" s="35">
        <f>2635439+1240297</f>
        <v>3875736</v>
      </c>
      <c r="M9" s="41">
        <f>2644913+1243331</f>
        <v>3888244</v>
      </c>
      <c r="N9" s="41">
        <f>2657761+1241321</f>
        <v>3899082</v>
      </c>
      <c r="O9" s="42">
        <f>2671183+1238374</f>
        <v>3909557</v>
      </c>
      <c r="P9" s="28">
        <f>2693946+1240227</f>
        <v>3934173</v>
      </c>
      <c r="Q9" s="28">
        <f>2711407+1237402</f>
        <v>3948809</v>
      </c>
      <c r="R9" s="43">
        <f t="shared" si="3"/>
        <v>3921865</v>
      </c>
      <c r="S9" s="29">
        <f t="shared" si="4"/>
        <v>0</v>
      </c>
      <c r="T9" s="36">
        <f t="shared" si="5"/>
        <v>3941491</v>
      </c>
      <c r="U9" s="34">
        <f>T9-'2341-01-04(110完)'!E9</f>
        <v>3936</v>
      </c>
      <c r="V9" s="44" t="s">
        <v>26</v>
      </c>
      <c r="W9" s="28"/>
      <c r="X9" s="28"/>
      <c r="Y9" s="28"/>
      <c r="Z9" s="28"/>
    </row>
    <row r="10" ht="18.0" customHeight="1">
      <c r="A10" s="37" t="s">
        <v>27</v>
      </c>
      <c r="C10" s="38"/>
      <c r="D10" s="32">
        <v>3.21445396E8</v>
      </c>
      <c r="E10" s="39">
        <v>2651244.5</v>
      </c>
      <c r="F10" s="45">
        <f t="shared" si="2"/>
        <v>332.1731805</v>
      </c>
      <c r="G10" s="46"/>
      <c r="H10" s="23"/>
      <c r="I10" s="23"/>
      <c r="J10" s="47">
        <v>2679598.0</v>
      </c>
      <c r="K10" s="47">
        <v>2695961.0</v>
      </c>
      <c r="L10" s="48">
        <v>2698312.0</v>
      </c>
      <c r="M10" s="49">
        <v>2689295.0</v>
      </c>
      <c r="N10" s="49">
        <v>2676848.0</v>
      </c>
      <c r="O10" s="43">
        <v>2663003.0</v>
      </c>
      <c r="P10" s="23">
        <v>2639486.0</v>
      </c>
      <c r="Q10" s="23">
        <v>2597473.0</v>
      </c>
      <c r="R10" s="35">
        <f t="shared" si="3"/>
        <v>2651244.5</v>
      </c>
      <c r="S10" s="29">
        <f t="shared" si="4"/>
        <v>0</v>
      </c>
      <c r="T10" s="28">
        <f t="shared" si="5"/>
        <v>2618480</v>
      </c>
      <c r="U10" s="34">
        <f>T10-'2341-01-04(110完)'!E10</f>
        <v>59945</v>
      </c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0">
        <v>2.10430599E8</v>
      </c>
      <c r="E11" s="50">
        <v>2137012.0</v>
      </c>
      <c r="F11" s="40">
        <f t="shared" si="2"/>
        <v>269.779575</v>
      </c>
      <c r="H11" s="23"/>
      <c r="I11" s="23"/>
      <c r="J11" s="47">
        <v>1944009.0</v>
      </c>
      <c r="K11" s="47">
        <v>1959057.0</v>
      </c>
      <c r="L11" s="48">
        <v>2007765.0</v>
      </c>
      <c r="M11" s="51">
        <v>2049885.0</v>
      </c>
      <c r="N11" s="51">
        <v>2088202.0</v>
      </c>
      <c r="O11" s="51">
        <v>2121477.0</v>
      </c>
      <c r="P11" s="23">
        <v>2152547.0</v>
      </c>
      <c r="Q11" s="23">
        <v>2183060.0</v>
      </c>
      <c r="R11" s="35">
        <f t="shared" si="3"/>
        <v>2137012</v>
      </c>
      <c r="S11" s="29">
        <f t="shared" si="4"/>
        <v>0</v>
      </c>
      <c r="T11" s="28">
        <f t="shared" si="5"/>
        <v>2167804</v>
      </c>
      <c r="U11" s="34">
        <f>T11-'2341-01-04(110完)'!E11</f>
        <v>-23776</v>
      </c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0">
        <v>2.78789657E8</v>
      </c>
      <c r="E12" s="50">
        <v>2695331.0</v>
      </c>
      <c r="F12" s="40">
        <f t="shared" si="2"/>
        <v>283.3816253</v>
      </c>
      <c r="H12" s="23"/>
      <c r="I12" s="23"/>
      <c r="J12" s="47">
        <v>2525924.0</v>
      </c>
      <c r="K12" s="47">
        <v>2557262.0</v>
      </c>
      <c r="L12" s="48">
        <v>2611303.0</v>
      </c>
      <c r="M12" s="51">
        <v>2646352.0</v>
      </c>
      <c r="N12" s="51">
        <v>2668584.0</v>
      </c>
      <c r="O12" s="51">
        <v>2687907.0</v>
      </c>
      <c r="P12" s="23">
        <v>2702755.0</v>
      </c>
      <c r="Q12" s="23">
        <v>2718398.0</v>
      </c>
      <c r="R12" s="35">
        <f t="shared" si="3"/>
        <v>2695331</v>
      </c>
      <c r="S12" s="29">
        <f t="shared" si="4"/>
        <v>0</v>
      </c>
      <c r="T12" s="28">
        <f t="shared" si="5"/>
        <v>2710577</v>
      </c>
      <c r="U12" s="34">
        <f>T12-'2341-01-04(110完)'!E12</f>
        <v>-5799</v>
      </c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0">
        <v>1.85397452E8</v>
      </c>
      <c r="E13" s="50">
        <v>1864897.0</v>
      </c>
      <c r="F13" s="40">
        <f t="shared" si="2"/>
        <v>272.3679778</v>
      </c>
      <c r="H13" s="23"/>
      <c r="I13" s="23"/>
      <c r="J13" s="47">
        <v>1863482.0</v>
      </c>
      <c r="K13" s="47">
        <v>1865380.0</v>
      </c>
      <c r="L13" s="48">
        <v>1867172.0</v>
      </c>
      <c r="M13" s="51">
        <v>1868264.0</v>
      </c>
      <c r="N13" s="51">
        <v>1869301.0</v>
      </c>
      <c r="O13" s="51">
        <v>1866280.0</v>
      </c>
      <c r="P13" s="23">
        <v>1863514.0</v>
      </c>
      <c r="Q13" s="23">
        <v>1857084.0</v>
      </c>
      <c r="R13" s="35">
        <f t="shared" si="3"/>
        <v>1864897</v>
      </c>
      <c r="S13" s="29">
        <f t="shared" si="4"/>
        <v>0</v>
      </c>
      <c r="T13" s="28">
        <f t="shared" si="5"/>
        <v>1860299</v>
      </c>
      <c r="U13" s="34">
        <f>T13-'2341-01-04(110完)'!E13</f>
        <v>9652</v>
      </c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0">
        <v>2.70495729E8</v>
      </c>
      <c r="E14" s="50">
        <v>2666350.0</v>
      </c>
      <c r="F14" s="40">
        <f t="shared" si="2"/>
        <v>277.9395762</v>
      </c>
      <c r="H14" s="23"/>
      <c r="I14" s="23"/>
      <c r="J14" s="47">
        <v>2654361.0</v>
      </c>
      <c r="K14" s="47">
        <v>2657021.0</v>
      </c>
      <c r="L14" s="48">
        <v>2659515.0</v>
      </c>
      <c r="M14" s="51">
        <v>2663024.0</v>
      </c>
      <c r="N14" s="51">
        <v>2663643.0</v>
      </c>
      <c r="O14" s="51">
        <v>2664814.0</v>
      </c>
      <c r="P14" s="23">
        <v>2667886.0</v>
      </c>
      <c r="Q14" s="23">
        <v>2670088.0</v>
      </c>
      <c r="R14" s="35">
        <f t="shared" si="3"/>
        <v>2666350</v>
      </c>
      <c r="S14" s="29">
        <f t="shared" si="4"/>
        <v>0</v>
      </c>
      <c r="T14" s="28">
        <f t="shared" si="5"/>
        <v>2668987</v>
      </c>
      <c r="U14" s="34">
        <f>T14-'2341-01-04(110完)'!E14</f>
        <v>8021</v>
      </c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0">
        <v>4.4187513E7</v>
      </c>
      <c r="E15" s="50">
        <v>434090.0</v>
      </c>
      <c r="F15" s="40">
        <f t="shared" si="2"/>
        <v>278.8861283</v>
      </c>
      <c r="H15" s="23"/>
      <c r="I15" s="23"/>
      <c r="J15" s="47">
        <v>430747.0</v>
      </c>
      <c r="K15" s="47">
        <v>431794.0</v>
      </c>
      <c r="L15" s="48">
        <v>431835.0</v>
      </c>
      <c r="M15" s="51">
        <v>434723.0</v>
      </c>
      <c r="N15" s="51">
        <v>434744.0</v>
      </c>
      <c r="O15" s="51">
        <v>434316.0</v>
      </c>
      <c r="P15" s="23">
        <v>433864.0</v>
      </c>
      <c r="Q15" s="23">
        <v>433808.0</v>
      </c>
      <c r="R15" s="35">
        <f t="shared" si="3"/>
        <v>434090</v>
      </c>
      <c r="S15" s="29">
        <f t="shared" si="4"/>
        <v>0</v>
      </c>
      <c r="T15" s="28">
        <f t="shared" si="5"/>
        <v>433836</v>
      </c>
      <c r="U15" s="34">
        <f>T15-'2341-01-04(110完)'!E15</f>
        <v>1118</v>
      </c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0">
        <v>4.6936629E7</v>
      </c>
      <c r="E16" s="50">
        <v>488313.0</v>
      </c>
      <c r="F16" s="40">
        <f t="shared" si="2"/>
        <v>263.3423728</v>
      </c>
      <c r="H16" s="23"/>
      <c r="I16" s="23"/>
      <c r="J16" s="47">
        <v>432668.0</v>
      </c>
      <c r="K16" s="47">
        <v>442694.0</v>
      </c>
      <c r="L16" s="48">
        <v>451617.0</v>
      </c>
      <c r="M16" s="51">
        <v>461956.0</v>
      </c>
      <c r="N16" s="51">
        <v>472099.0</v>
      </c>
      <c r="O16" s="51">
        <v>483529.0</v>
      </c>
      <c r="P16" s="23">
        <v>493096.0</v>
      </c>
      <c r="Q16" s="23">
        <v>506828.0</v>
      </c>
      <c r="R16" s="35">
        <f t="shared" si="3"/>
        <v>488312.5</v>
      </c>
      <c r="S16" s="29">
        <f t="shared" si="4"/>
        <v>0.5</v>
      </c>
      <c r="T16" s="28">
        <f t="shared" si="5"/>
        <v>499962</v>
      </c>
      <c r="U16" s="34">
        <f>T16-'2341-01-04(110完)'!E16</f>
        <v>-11920</v>
      </c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0">
        <v>4.2631956E7</v>
      </c>
      <c r="E17" s="50">
        <v>452544.0</v>
      </c>
      <c r="F17" s="40">
        <f t="shared" si="2"/>
        <v>258.0961839</v>
      </c>
      <c r="H17" s="23"/>
      <c r="I17" s="23"/>
      <c r="J17" s="47">
        <v>443380.0</v>
      </c>
      <c r="K17" s="47">
        <v>448600.0</v>
      </c>
      <c r="L17" s="48">
        <v>453402.0</v>
      </c>
      <c r="M17" s="51">
        <v>451148.0</v>
      </c>
      <c r="N17" s="51">
        <v>450832.0</v>
      </c>
      <c r="O17" s="51">
        <v>450616.0</v>
      </c>
      <c r="P17" s="23">
        <v>454471.0</v>
      </c>
      <c r="Q17" s="23">
        <v>459487.0</v>
      </c>
      <c r="R17" s="35">
        <f t="shared" si="3"/>
        <v>452543.5</v>
      </c>
      <c r="S17" s="29">
        <f t="shared" si="4"/>
        <v>0.5</v>
      </c>
      <c r="T17" s="28">
        <f t="shared" si="5"/>
        <v>456979</v>
      </c>
      <c r="U17" s="34">
        <f>T17-'2341-01-04(110完)'!E17</f>
        <v>-3237</v>
      </c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0">
        <v>9.8372481E7</v>
      </c>
      <c r="E18" s="50">
        <v>1198832.0</v>
      </c>
      <c r="F18" s="40">
        <f t="shared" si="2"/>
        <v>224.813524</v>
      </c>
      <c r="H18" s="23"/>
      <c r="I18" s="23"/>
      <c r="J18" s="47">
        <v>1203715.0</v>
      </c>
      <c r="K18" s="47">
        <v>1202557.0</v>
      </c>
      <c r="L18" s="48">
        <v>1203920.0</v>
      </c>
      <c r="M18" s="51">
        <v>1204842.0</v>
      </c>
      <c r="N18" s="51">
        <v>1202103.0</v>
      </c>
      <c r="O18" s="51">
        <v>1199883.0</v>
      </c>
      <c r="P18" s="23">
        <v>1197781.0</v>
      </c>
      <c r="Q18" s="23">
        <v>1194779.0</v>
      </c>
      <c r="R18" s="35">
        <f t="shared" si="3"/>
        <v>1198832</v>
      </c>
      <c r="S18" s="29">
        <f t="shared" si="4"/>
        <v>0</v>
      </c>
      <c r="T18" s="28">
        <f t="shared" si="5"/>
        <v>1196280</v>
      </c>
      <c r="U18" s="34">
        <f>T18-'2341-01-04(110完)'!E18</f>
        <v>5058</v>
      </c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0">
        <v>3.838008E7</v>
      </c>
      <c r="E19" s="50">
        <v>398993.0</v>
      </c>
      <c r="F19" s="40">
        <f t="shared" si="2"/>
        <v>263.540724</v>
      </c>
      <c r="H19" s="23"/>
      <c r="I19" s="23"/>
      <c r="J19" s="47">
        <v>403196.0</v>
      </c>
      <c r="K19" s="47">
        <v>401859.0</v>
      </c>
      <c r="L19" s="48">
        <v>399275.0</v>
      </c>
      <c r="M19" s="51">
        <v>401015.0</v>
      </c>
      <c r="N19" s="51">
        <v>399852.0</v>
      </c>
      <c r="O19" s="51">
        <v>399637.0</v>
      </c>
      <c r="P19" s="23">
        <v>398348.0</v>
      </c>
      <c r="Q19" s="23">
        <v>397578.0</v>
      </c>
      <c r="R19" s="35">
        <f t="shared" si="3"/>
        <v>398992.5</v>
      </c>
      <c r="S19" s="29">
        <f t="shared" si="4"/>
        <v>0.5</v>
      </c>
      <c r="T19" s="28">
        <f t="shared" si="5"/>
        <v>397963</v>
      </c>
      <c r="U19" s="34">
        <f>T19-'2341-01-04(110完)'!E19</f>
        <v>1889</v>
      </c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0">
        <v>6.3396257E7</v>
      </c>
      <c r="E20" s="50">
        <v>646148.0</v>
      </c>
      <c r="F20" s="40">
        <f t="shared" si="2"/>
        <v>268.8058701</v>
      </c>
      <c r="H20" s="23"/>
      <c r="I20" s="23"/>
      <c r="J20" s="47">
        <v>665701.0</v>
      </c>
      <c r="K20" s="47">
        <v>663668.0</v>
      </c>
      <c r="L20" s="48">
        <v>658851.0</v>
      </c>
      <c r="M20" s="51">
        <v>654672.0</v>
      </c>
      <c r="N20" s="51">
        <v>650998.0</v>
      </c>
      <c r="O20" s="51">
        <v>647835.0</v>
      </c>
      <c r="P20" s="23">
        <v>644460.0</v>
      </c>
      <c r="Q20" s="23">
        <v>640864.0</v>
      </c>
      <c r="R20" s="35">
        <f t="shared" si="3"/>
        <v>646147.5</v>
      </c>
      <c r="S20" s="29">
        <f t="shared" si="4"/>
        <v>0.5</v>
      </c>
      <c r="T20" s="28">
        <f t="shared" si="5"/>
        <v>642662</v>
      </c>
      <c r="U20" s="34">
        <f>T20-'2341-01-04(110完)'!E20</f>
        <v>4418</v>
      </c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0">
        <v>4.3669428E7</v>
      </c>
      <c r="E21" s="50">
        <v>459156.0</v>
      </c>
      <c r="F21" s="40">
        <f t="shared" si="2"/>
        <v>260.5699773</v>
      </c>
      <c r="H21" s="23"/>
      <c r="I21" s="23"/>
      <c r="J21" s="47">
        <v>474082.0</v>
      </c>
      <c r="K21" s="47">
        <v>470868.0</v>
      </c>
      <c r="L21" s="48">
        <v>467375.0</v>
      </c>
      <c r="M21" s="51">
        <v>464311.0</v>
      </c>
      <c r="N21" s="51">
        <v>462356.0</v>
      </c>
      <c r="O21" s="51">
        <v>460204.0</v>
      </c>
      <c r="P21" s="23">
        <v>458108.0</v>
      </c>
      <c r="Q21" s="23">
        <v>455966.0</v>
      </c>
      <c r="R21" s="35">
        <f t="shared" si="3"/>
        <v>459156</v>
      </c>
      <c r="S21" s="29">
        <f t="shared" si="4"/>
        <v>0</v>
      </c>
      <c r="T21" s="28">
        <f t="shared" si="5"/>
        <v>457037</v>
      </c>
      <c r="U21" s="34">
        <f>T21-'2341-01-04(110完)'!E21</f>
        <v>2999</v>
      </c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0">
        <v>4.1235203E7</v>
      </c>
      <c r="E22" s="50">
        <v>442917.0</v>
      </c>
      <c r="F22" s="40">
        <f t="shared" si="2"/>
        <v>255.0662063</v>
      </c>
      <c r="H22" s="23"/>
      <c r="I22" s="23"/>
      <c r="J22" s="47">
        <v>399596.0</v>
      </c>
      <c r="K22" s="47">
        <v>404431.0</v>
      </c>
      <c r="L22" s="48">
        <v>405858.0</v>
      </c>
      <c r="M22" s="51">
        <v>412778.0</v>
      </c>
      <c r="N22" s="51">
        <v>421818.0</v>
      </c>
      <c r="O22" s="51">
        <v>434971.0</v>
      </c>
      <c r="P22" s="23">
        <v>450862.0</v>
      </c>
      <c r="Q22" s="23">
        <v>492092.0</v>
      </c>
      <c r="R22" s="35">
        <f t="shared" si="3"/>
        <v>442916.5</v>
      </c>
      <c r="S22" s="29">
        <f t="shared" si="4"/>
        <v>0.5</v>
      </c>
      <c r="T22" s="28">
        <f t="shared" si="5"/>
        <v>471477</v>
      </c>
      <c r="U22" s="34">
        <f>T22-'2341-01-04(110完)'!E22</f>
        <v>-27976</v>
      </c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0">
        <v>1.8107679E7</v>
      </c>
      <c r="E23" s="50">
        <v>179181.0</v>
      </c>
      <c r="F23" s="40">
        <f t="shared" si="2"/>
        <v>276.871317</v>
      </c>
      <c r="H23" s="23"/>
      <c r="I23" s="23"/>
      <c r="J23" s="47">
        <v>178412.0</v>
      </c>
      <c r="K23" s="47">
        <v>177168.0</v>
      </c>
      <c r="L23" s="48">
        <v>177223.0</v>
      </c>
      <c r="M23" s="51">
        <v>177346.0</v>
      </c>
      <c r="N23" s="51">
        <v>177763.0</v>
      </c>
      <c r="O23" s="51">
        <v>179121.0</v>
      </c>
      <c r="P23" s="23">
        <v>179241.0</v>
      </c>
      <c r="Q23" s="23">
        <v>180024.0</v>
      </c>
      <c r="R23" s="35">
        <f t="shared" si="3"/>
        <v>179181</v>
      </c>
      <c r="S23" s="29">
        <f t="shared" si="4"/>
        <v>0</v>
      </c>
      <c r="T23" s="28">
        <f t="shared" si="5"/>
        <v>179633</v>
      </c>
      <c r="U23" s="34">
        <f>T23-'2341-01-04(110完)'!E23</f>
        <v>-597</v>
      </c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0">
        <v>2.9768674E7</v>
      </c>
      <c r="E24" s="50">
        <v>286101.0</v>
      </c>
      <c r="F24" s="40">
        <f t="shared" si="2"/>
        <v>285.0671999</v>
      </c>
      <c r="H24" s="23"/>
      <c r="I24" s="23"/>
      <c r="J24" s="47">
        <v>281468.0</v>
      </c>
      <c r="K24" s="47">
        <v>281012.0</v>
      </c>
      <c r="L24" s="48">
        <v>281411.0</v>
      </c>
      <c r="M24" s="51">
        <v>283363.0</v>
      </c>
      <c r="N24" s="51">
        <v>283975.0</v>
      </c>
      <c r="O24" s="51">
        <v>285580.0</v>
      </c>
      <c r="P24" s="23">
        <v>286622.0</v>
      </c>
      <c r="Q24" s="23">
        <v>290750.0</v>
      </c>
      <c r="R24" s="35">
        <f t="shared" si="3"/>
        <v>286101</v>
      </c>
      <c r="S24" s="29">
        <f t="shared" si="4"/>
        <v>0</v>
      </c>
      <c r="T24" s="28">
        <f t="shared" si="5"/>
        <v>288686</v>
      </c>
      <c r="U24" s="34">
        <f>T24-'2341-01-04(110完)'!E24</f>
        <v>-1148</v>
      </c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0">
        <v>8453874.0</v>
      </c>
      <c r="E25" s="50">
        <v>98025.0</v>
      </c>
      <c r="F25" s="40">
        <f t="shared" si="2"/>
        <v>236.2795066</v>
      </c>
      <c r="H25" s="23"/>
      <c r="I25" s="23"/>
      <c r="J25" s="47">
        <v>93636.0</v>
      </c>
      <c r="K25" s="47">
        <v>94953.0</v>
      </c>
      <c r="L25" s="48">
        <v>95496.0</v>
      </c>
      <c r="M25" s="51">
        <v>96463.0</v>
      </c>
      <c r="N25" s="51">
        <v>97264.0</v>
      </c>
      <c r="O25" s="51">
        <v>97651.0</v>
      </c>
      <c r="P25" s="23">
        <v>98398.0</v>
      </c>
      <c r="Q25" s="23">
        <v>98997.0</v>
      </c>
      <c r="R25" s="35">
        <f t="shared" si="3"/>
        <v>98024.5</v>
      </c>
      <c r="S25" s="29">
        <f t="shared" si="4"/>
        <v>0.5</v>
      </c>
      <c r="T25" s="28">
        <f t="shared" si="5"/>
        <v>98698</v>
      </c>
      <c r="U25" s="34">
        <f>T25-'2341-01-04(110完)'!E25</f>
        <v>-316</v>
      </c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0">
        <v>3.9778423E7</v>
      </c>
      <c r="E26" s="50">
        <v>367382.0</v>
      </c>
      <c r="F26" s="40">
        <f t="shared" si="2"/>
        <v>296.6448569</v>
      </c>
      <c r="H26" s="23"/>
      <c r="I26" s="23"/>
      <c r="J26" s="47">
        <v>372491.0</v>
      </c>
      <c r="K26" s="47">
        <v>370698.0</v>
      </c>
      <c r="L26" s="48">
        <v>369789.0</v>
      </c>
      <c r="M26" s="51">
        <v>369833.0</v>
      </c>
      <c r="N26" s="51">
        <v>369236.0</v>
      </c>
      <c r="O26" s="51">
        <v>367965.0</v>
      </c>
      <c r="P26" s="23">
        <v>366798.0</v>
      </c>
      <c r="Q26" s="23">
        <v>365662.0</v>
      </c>
      <c r="R26" s="35">
        <f t="shared" si="3"/>
        <v>367381.5</v>
      </c>
      <c r="S26" s="29">
        <f t="shared" si="4"/>
        <v>0.5</v>
      </c>
      <c r="T26" s="28">
        <f t="shared" si="5"/>
        <v>366230</v>
      </c>
      <c r="U26" s="34">
        <f>T26-'2341-01-04(110完)'!E26</f>
        <v>2349</v>
      </c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0">
        <v>5.0254359E7</v>
      </c>
      <c r="E27" s="50">
        <v>443073.0</v>
      </c>
      <c r="F27" s="40">
        <f t="shared" si="2"/>
        <v>310.7460291</v>
      </c>
      <c r="H27" s="23"/>
      <c r="I27" s="23"/>
      <c r="J27" s="47">
        <v>423886.0</v>
      </c>
      <c r="K27" s="47">
        <v>427370.0</v>
      </c>
      <c r="L27" s="48">
        <v>429466.0</v>
      </c>
      <c r="M27" s="51">
        <v>432721.0</v>
      </c>
      <c r="N27" s="51">
        <v>436549.0</v>
      </c>
      <c r="O27" s="51">
        <v>441463.0</v>
      </c>
      <c r="P27" s="23">
        <v>444683.0</v>
      </c>
      <c r="Q27" s="23">
        <v>447395.0</v>
      </c>
      <c r="R27" s="35">
        <f t="shared" si="3"/>
        <v>443073</v>
      </c>
      <c r="S27" s="29">
        <f t="shared" si="4"/>
        <v>0</v>
      </c>
      <c r="T27" s="28">
        <f t="shared" si="5"/>
        <v>446039</v>
      </c>
      <c r="U27" s="34">
        <f>T27-'2341-01-04(110完)'!E27</f>
        <v>-2041</v>
      </c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0">
        <v>2.843959E7</v>
      </c>
      <c r="E28" s="40">
        <v>267806.0</v>
      </c>
      <c r="F28" s="40">
        <f t="shared" si="2"/>
        <v>290.9445081</v>
      </c>
      <c r="H28" s="23"/>
      <c r="I28" s="23"/>
      <c r="J28" s="47">
        <v>270373.0</v>
      </c>
      <c r="K28" s="47">
        <v>270437.0</v>
      </c>
      <c r="L28" s="48">
        <v>269977.0</v>
      </c>
      <c r="M28" s="51">
        <v>269522.0</v>
      </c>
      <c r="N28" s="51">
        <v>269043.0</v>
      </c>
      <c r="O28" s="51">
        <v>268270.0</v>
      </c>
      <c r="P28" s="23">
        <v>267342.0</v>
      </c>
      <c r="Q28" s="23">
        <v>265705.0</v>
      </c>
      <c r="R28" s="35">
        <f t="shared" si="3"/>
        <v>267806</v>
      </c>
      <c r="S28" s="29">
        <f t="shared" si="4"/>
        <v>0</v>
      </c>
      <c r="T28" s="28">
        <f t="shared" si="5"/>
        <v>266524</v>
      </c>
      <c r="U28" s="34">
        <f>T28-'2341-01-04(110完)'!E28</f>
        <v>1443</v>
      </c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5806337.0</v>
      </c>
      <c r="E29" s="53">
        <v>132096.0</v>
      </c>
      <c r="F29" s="54">
        <f t="shared" si="2"/>
        <v>120.4258464</v>
      </c>
      <c r="H29" s="23"/>
      <c r="I29" s="23"/>
      <c r="J29" s="47">
        <v>114054.0</v>
      </c>
      <c r="K29" s="47">
        <v>120698.0</v>
      </c>
      <c r="L29" s="48">
        <v>125529.0</v>
      </c>
      <c r="M29" s="51">
        <v>127722.0</v>
      </c>
      <c r="N29" s="51">
        <v>129932.0</v>
      </c>
      <c r="O29" s="51">
        <v>131661.0</v>
      </c>
      <c r="P29" s="23">
        <v>132531.0</v>
      </c>
      <c r="Q29" s="23">
        <v>132938.0</v>
      </c>
      <c r="R29" s="35"/>
      <c r="S29" s="29">
        <f t="shared" si="4"/>
        <v>132096</v>
      </c>
      <c r="T29" s="28">
        <f t="shared" si="5"/>
        <v>132735</v>
      </c>
      <c r="U29" s="34">
        <f>T29-'2341-01-04(110完)'!E29</f>
        <v>-646</v>
      </c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57">
        <v>838994.0</v>
      </c>
      <c r="E30" s="57">
        <v>11552.0</v>
      </c>
      <c r="F30" s="58">
        <f t="shared" si="2"/>
        <v>198.9797177</v>
      </c>
      <c r="G30" s="25"/>
      <c r="H30" s="23"/>
      <c r="I30" s="23"/>
      <c r="J30" s="47">
        <v>11552.0</v>
      </c>
      <c r="K30" s="47">
        <v>11972.0</v>
      </c>
      <c r="L30" s="48">
        <v>12230.0</v>
      </c>
      <c r="M30" s="51">
        <v>12062.0</v>
      </c>
      <c r="N30" s="51">
        <v>12237.0</v>
      </c>
      <c r="O30" s="51">
        <v>11808.0</v>
      </c>
      <c r="P30" s="23">
        <v>11295.0</v>
      </c>
      <c r="Q30" s="23">
        <v>11382.0</v>
      </c>
      <c r="R30" s="35"/>
      <c r="S30" s="29">
        <f t="shared" si="4"/>
        <v>11552</v>
      </c>
      <c r="T30" s="28">
        <f t="shared" si="5"/>
        <v>11339</v>
      </c>
      <c r="U30" s="34">
        <f>T30-'2341-01-04(110完)'!E30</f>
        <v>-41</v>
      </c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52</v>
      </c>
      <c r="H31" s="28"/>
      <c r="I31" s="28"/>
      <c r="J31" s="23"/>
      <c r="K31" s="23"/>
      <c r="L31" s="23"/>
      <c r="M31" s="23"/>
      <c r="N31" s="23"/>
      <c r="O31" s="23"/>
      <c r="P31" s="23"/>
      <c r="Q31" s="23"/>
      <c r="R31" s="23"/>
      <c r="S31" s="29"/>
      <c r="T31" s="28"/>
      <c r="U31" s="28"/>
      <c r="V31" s="28"/>
      <c r="W31" s="28"/>
      <c r="X31" s="28"/>
      <c r="Y31" s="28"/>
      <c r="Z31" s="28"/>
    </row>
    <row r="32" ht="42.75" customHeight="1">
      <c r="A32" s="3"/>
      <c r="B32" s="3"/>
      <c r="C32" s="3"/>
      <c r="D32" s="63"/>
      <c r="E32" s="3"/>
      <c r="F32" s="3"/>
      <c r="G32" s="3"/>
      <c r="H32" s="5"/>
      <c r="I32" s="5"/>
      <c r="J32" s="23"/>
      <c r="K32" s="23"/>
      <c r="L32" s="23"/>
      <c r="M32" s="23"/>
      <c r="N32" s="23"/>
      <c r="O32" s="23"/>
      <c r="P32" s="23"/>
      <c r="Q32" s="23"/>
      <c r="R32" s="23"/>
      <c r="S32" s="6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5"/>
      <c r="U33" s="5"/>
      <c r="V33" s="5"/>
      <c r="W33" s="5"/>
      <c r="X33" s="5"/>
      <c r="Y33" s="5"/>
      <c r="Z33" s="5"/>
    </row>
    <row r="34" ht="42.0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5"/>
      <c r="K35" s="5"/>
      <c r="L35" s="5"/>
      <c r="M35" s="5"/>
      <c r="N35" s="5"/>
      <c r="O35" s="5"/>
      <c r="P35" s="5"/>
      <c r="Q35" s="5"/>
      <c r="R35" s="5"/>
      <c r="S35" s="19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5"/>
      <c r="K36" s="5"/>
      <c r="L36" s="5"/>
      <c r="M36" s="5"/>
      <c r="N36" s="5"/>
      <c r="O36" s="5"/>
      <c r="P36" s="5"/>
      <c r="Q36" s="5"/>
      <c r="R36" s="5"/>
      <c r="S36" s="19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56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9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9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9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9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9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  <c r="T42" s="72"/>
      <c r="U42" s="72"/>
      <c r="V42" s="72"/>
      <c r="W42" s="72"/>
      <c r="X42" s="72"/>
      <c r="Y42" s="72"/>
      <c r="Z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3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3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3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3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3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3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3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3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3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3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3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3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3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3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3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3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3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3"/>
      <c r="T69" s="72"/>
      <c r="U69" s="72"/>
      <c r="V69" s="72"/>
      <c r="W69" s="72"/>
      <c r="X69" s="72"/>
      <c r="Y69" s="72"/>
      <c r="Z69" s="72"/>
    </row>
    <row r="70" ht="15.75" customHeight="1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3"/>
      <c r="T70" s="72"/>
      <c r="U70" s="72"/>
      <c r="V70" s="72"/>
      <c r="W70" s="72"/>
      <c r="X70" s="72"/>
      <c r="Y70" s="72"/>
      <c r="Z70" s="72"/>
    </row>
    <row r="71" ht="15.75" customHeight="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3"/>
      <c r="T71" s="72"/>
      <c r="U71" s="72"/>
      <c r="V71" s="72"/>
      <c r="W71" s="72"/>
      <c r="X71" s="72"/>
      <c r="Y71" s="72"/>
      <c r="Z71" s="72"/>
    </row>
    <row r="72" ht="15.75" customHeight="1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3"/>
      <c r="T72" s="72"/>
      <c r="U72" s="72"/>
      <c r="V72" s="72"/>
      <c r="W72" s="72"/>
      <c r="X72" s="72"/>
      <c r="Y72" s="72"/>
      <c r="Z72" s="72"/>
    </row>
    <row r="73" ht="15.75" customHeight="1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3"/>
      <c r="T73" s="72"/>
      <c r="U73" s="72"/>
      <c r="V73" s="72"/>
      <c r="W73" s="72"/>
      <c r="X73" s="72"/>
      <c r="Y73" s="72"/>
      <c r="Z73" s="72"/>
    </row>
    <row r="74" ht="15.75" customHeight="1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3"/>
      <c r="T74" s="72"/>
      <c r="U74" s="72"/>
      <c r="V74" s="72"/>
      <c r="W74" s="72"/>
      <c r="X74" s="72"/>
      <c r="Y74" s="72"/>
      <c r="Z74" s="72"/>
    </row>
    <row r="75" ht="15.75" customHeight="1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3"/>
      <c r="T75" s="72"/>
      <c r="U75" s="72"/>
      <c r="V75" s="72"/>
      <c r="W75" s="72"/>
      <c r="X75" s="72"/>
      <c r="Y75" s="72"/>
      <c r="Z75" s="72"/>
    </row>
    <row r="76" ht="15.75" customHeight="1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3"/>
      <c r="T76" s="72"/>
      <c r="U76" s="72"/>
      <c r="V76" s="72"/>
      <c r="W76" s="72"/>
      <c r="X76" s="72"/>
      <c r="Y76" s="72"/>
      <c r="Z76" s="72"/>
    </row>
    <row r="77" ht="15.75" customHeight="1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3"/>
      <c r="T77" s="72"/>
      <c r="U77" s="72"/>
      <c r="V77" s="72"/>
      <c r="W77" s="72"/>
      <c r="X77" s="72"/>
      <c r="Y77" s="72"/>
      <c r="Z77" s="72"/>
    </row>
    <row r="78" ht="15.75" customHeight="1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3"/>
      <c r="T78" s="72"/>
      <c r="U78" s="72"/>
      <c r="V78" s="72"/>
      <c r="W78" s="72"/>
      <c r="X78" s="72"/>
      <c r="Y78" s="72"/>
      <c r="Z78" s="72"/>
    </row>
    <row r="79" ht="15.75" customHeight="1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3"/>
      <c r="T79" s="72"/>
      <c r="U79" s="72"/>
      <c r="V79" s="72"/>
      <c r="W79" s="72"/>
      <c r="X79" s="72"/>
      <c r="Y79" s="72"/>
      <c r="Z79" s="72"/>
    </row>
    <row r="80" ht="15.75" customHeight="1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3"/>
      <c r="T80" s="72"/>
      <c r="U80" s="72"/>
      <c r="V80" s="72"/>
      <c r="W80" s="72"/>
      <c r="X80" s="72"/>
      <c r="Y80" s="72"/>
      <c r="Z80" s="72"/>
    </row>
    <row r="81" ht="15.75" customHeight="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2"/>
      <c r="U81" s="72"/>
      <c r="V81" s="72"/>
      <c r="W81" s="72"/>
      <c r="X81" s="72"/>
      <c r="Y81" s="72"/>
      <c r="Z81" s="72"/>
    </row>
    <row r="82" ht="15.75" customHeight="1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3"/>
      <c r="T82" s="72"/>
      <c r="U82" s="72"/>
      <c r="V82" s="72"/>
      <c r="W82" s="72"/>
      <c r="X82" s="72"/>
      <c r="Y82" s="72"/>
      <c r="Z82" s="72"/>
    </row>
    <row r="83" ht="15.75" customHeight="1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3"/>
      <c r="T83" s="72"/>
      <c r="U83" s="72"/>
      <c r="V83" s="72"/>
      <c r="W83" s="72"/>
      <c r="X83" s="72"/>
      <c r="Y83" s="72"/>
      <c r="Z83" s="72"/>
    </row>
    <row r="84" ht="15.75" customHeight="1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3"/>
      <c r="T84" s="72"/>
      <c r="U84" s="72"/>
      <c r="V84" s="72"/>
      <c r="W84" s="72"/>
      <c r="X84" s="72"/>
      <c r="Y84" s="72"/>
      <c r="Z84" s="72"/>
    </row>
    <row r="85" ht="15.75" customHeight="1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3"/>
      <c r="T85" s="72"/>
      <c r="U85" s="72"/>
      <c r="V85" s="72"/>
      <c r="W85" s="72"/>
      <c r="X85" s="72"/>
      <c r="Y85" s="72"/>
      <c r="Z85" s="72"/>
    </row>
    <row r="86" ht="15.75" customHeight="1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3"/>
      <c r="T86" s="72"/>
      <c r="U86" s="72"/>
      <c r="V86" s="72"/>
      <c r="W86" s="72"/>
      <c r="X86" s="72"/>
      <c r="Y86" s="72"/>
      <c r="Z86" s="72"/>
    </row>
    <row r="87" ht="15.75" customHeight="1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3"/>
      <c r="T87" s="72"/>
      <c r="U87" s="72"/>
      <c r="V87" s="72"/>
      <c r="W87" s="72"/>
      <c r="X87" s="72"/>
      <c r="Y87" s="72"/>
      <c r="Z87" s="72"/>
    </row>
    <row r="88" ht="15.75" customHeight="1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3"/>
      <c r="T88" s="72"/>
      <c r="U88" s="72"/>
      <c r="V88" s="72"/>
      <c r="W88" s="72"/>
      <c r="X88" s="72"/>
      <c r="Y88" s="72"/>
      <c r="Z88" s="72"/>
    </row>
    <row r="89" ht="15.75" customHeight="1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3"/>
      <c r="T89" s="72"/>
      <c r="U89" s="72"/>
      <c r="V89" s="72"/>
      <c r="W89" s="72"/>
      <c r="X89" s="72"/>
      <c r="Y89" s="72"/>
      <c r="Z89" s="72"/>
    </row>
    <row r="90" ht="15.75" customHeight="1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3"/>
      <c r="T90" s="72"/>
      <c r="U90" s="72"/>
      <c r="V90" s="72"/>
      <c r="W90" s="72"/>
      <c r="X90" s="72"/>
      <c r="Y90" s="72"/>
      <c r="Z90" s="72"/>
    </row>
    <row r="91" ht="15.75" customHeight="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3"/>
      <c r="T91" s="72"/>
      <c r="U91" s="72"/>
      <c r="V91" s="72"/>
      <c r="W91" s="72"/>
      <c r="X91" s="72"/>
      <c r="Y91" s="72"/>
      <c r="Z91" s="72"/>
    </row>
    <row r="92" ht="15.75" customHeight="1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3"/>
      <c r="T92" s="72"/>
      <c r="U92" s="72"/>
      <c r="V92" s="72"/>
      <c r="W92" s="72"/>
      <c r="X92" s="72"/>
      <c r="Y92" s="72"/>
      <c r="Z92" s="72"/>
    </row>
    <row r="93" ht="15.75" customHeight="1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3"/>
      <c r="T93" s="72"/>
      <c r="U93" s="72"/>
      <c r="V93" s="72"/>
      <c r="W93" s="72"/>
      <c r="X93" s="72"/>
      <c r="Y93" s="72"/>
      <c r="Z93" s="72"/>
    </row>
    <row r="94" ht="15.75" customHeight="1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3"/>
      <c r="T94" s="72"/>
      <c r="U94" s="72"/>
      <c r="V94" s="72"/>
      <c r="W94" s="72"/>
      <c r="X94" s="72"/>
      <c r="Y94" s="72"/>
      <c r="Z94" s="72"/>
    </row>
    <row r="95" ht="15.75" customHeight="1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3"/>
      <c r="T95" s="72"/>
      <c r="U95" s="72"/>
      <c r="V95" s="72"/>
      <c r="W95" s="72"/>
      <c r="X95" s="72"/>
      <c r="Y95" s="72"/>
      <c r="Z95" s="72"/>
    </row>
    <row r="96" ht="15.75" customHeight="1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3"/>
      <c r="T96" s="72"/>
      <c r="U96" s="72"/>
      <c r="V96" s="72"/>
      <c r="W96" s="72"/>
      <c r="X96" s="72"/>
      <c r="Y96" s="72"/>
      <c r="Z96" s="72"/>
    </row>
    <row r="97" ht="15.75" customHeight="1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3"/>
      <c r="T97" s="72"/>
      <c r="U97" s="72"/>
      <c r="V97" s="72"/>
      <c r="W97" s="72"/>
      <c r="X97" s="72"/>
      <c r="Y97" s="72"/>
      <c r="Z97" s="72"/>
    </row>
    <row r="98" ht="15.75" customHeight="1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3"/>
      <c r="T98" s="72"/>
      <c r="U98" s="72"/>
      <c r="V98" s="72"/>
      <c r="W98" s="72"/>
      <c r="X98" s="72"/>
      <c r="Y98" s="72"/>
      <c r="Z98" s="72"/>
    </row>
    <row r="99" ht="15.75" customHeight="1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3"/>
      <c r="T99" s="72"/>
      <c r="U99" s="72"/>
      <c r="V99" s="72"/>
      <c r="W99" s="72"/>
      <c r="X99" s="72"/>
      <c r="Y99" s="72"/>
      <c r="Z99" s="72"/>
    </row>
    <row r="100" ht="15.75" customHeight="1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3"/>
      <c r="T100" s="72"/>
      <c r="U100" s="72"/>
      <c r="V100" s="72"/>
      <c r="W100" s="72"/>
      <c r="X100" s="72"/>
      <c r="Y100" s="72"/>
      <c r="Z100" s="72"/>
    </row>
    <row r="101" ht="15.75" customHeight="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3"/>
      <c r="T101" s="72"/>
      <c r="U101" s="72"/>
      <c r="V101" s="72"/>
      <c r="W101" s="72"/>
      <c r="X101" s="72"/>
      <c r="Y101" s="72"/>
      <c r="Z101" s="72"/>
    </row>
    <row r="102" ht="15.75" customHeight="1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3"/>
      <c r="T102" s="72"/>
      <c r="U102" s="72"/>
      <c r="V102" s="72"/>
      <c r="W102" s="72"/>
      <c r="X102" s="72"/>
      <c r="Y102" s="72"/>
      <c r="Z102" s="72"/>
    </row>
    <row r="103" ht="15.75" customHeight="1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3"/>
      <c r="T103" s="72"/>
      <c r="U103" s="72"/>
      <c r="V103" s="72"/>
      <c r="W103" s="72"/>
      <c r="X103" s="72"/>
      <c r="Y103" s="72"/>
      <c r="Z103" s="72"/>
    </row>
    <row r="104" ht="15.75" customHeight="1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3"/>
      <c r="T104" s="72"/>
      <c r="U104" s="72"/>
      <c r="V104" s="72"/>
      <c r="W104" s="72"/>
      <c r="X104" s="72"/>
      <c r="Y104" s="72"/>
      <c r="Z104" s="72"/>
    </row>
    <row r="105" ht="15.75" customHeight="1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3"/>
      <c r="T105" s="72"/>
      <c r="U105" s="72"/>
      <c r="V105" s="72"/>
      <c r="W105" s="72"/>
      <c r="X105" s="72"/>
      <c r="Y105" s="72"/>
      <c r="Z105" s="72"/>
    </row>
    <row r="106" ht="15.75" customHeight="1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3"/>
      <c r="T106" s="72"/>
      <c r="U106" s="72"/>
      <c r="V106" s="72"/>
      <c r="W106" s="72"/>
      <c r="X106" s="72"/>
      <c r="Y106" s="72"/>
      <c r="Z106" s="72"/>
    </row>
    <row r="107" ht="15.75" customHeight="1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3"/>
      <c r="T107" s="72"/>
      <c r="U107" s="72"/>
      <c r="V107" s="72"/>
      <c r="W107" s="72"/>
      <c r="X107" s="72"/>
      <c r="Y107" s="72"/>
      <c r="Z107" s="72"/>
    </row>
    <row r="108" ht="15.75" customHeight="1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3"/>
      <c r="T108" s="72"/>
      <c r="U108" s="72"/>
      <c r="V108" s="72"/>
      <c r="W108" s="72"/>
      <c r="X108" s="72"/>
      <c r="Y108" s="72"/>
      <c r="Z108" s="72"/>
    </row>
    <row r="109" ht="15.75" customHeight="1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3"/>
      <c r="T109" s="72"/>
      <c r="U109" s="72"/>
      <c r="V109" s="72"/>
      <c r="W109" s="72"/>
      <c r="X109" s="72"/>
      <c r="Y109" s="72"/>
      <c r="Z109" s="72"/>
    </row>
    <row r="110" ht="15.75" customHeight="1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3"/>
      <c r="T110" s="72"/>
      <c r="U110" s="72"/>
      <c r="V110" s="72"/>
      <c r="W110" s="72"/>
      <c r="X110" s="72"/>
      <c r="Y110" s="72"/>
      <c r="Z110" s="72"/>
    </row>
    <row r="111" ht="15.75" customHeight="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3"/>
      <c r="T111" s="72"/>
      <c r="U111" s="72"/>
      <c r="V111" s="72"/>
      <c r="W111" s="72"/>
      <c r="X111" s="72"/>
      <c r="Y111" s="72"/>
      <c r="Z111" s="72"/>
    </row>
    <row r="112" ht="15.75" customHeight="1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3"/>
      <c r="T112" s="72"/>
      <c r="U112" s="72"/>
      <c r="V112" s="72"/>
      <c r="W112" s="72"/>
      <c r="X112" s="72"/>
      <c r="Y112" s="72"/>
      <c r="Z112" s="72"/>
    </row>
    <row r="113" ht="15.75" customHeight="1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3"/>
      <c r="T113" s="72"/>
      <c r="U113" s="72"/>
      <c r="V113" s="72"/>
      <c r="W113" s="72"/>
      <c r="X113" s="72"/>
      <c r="Y113" s="72"/>
      <c r="Z113" s="72"/>
    </row>
    <row r="114" ht="15.75" customHeight="1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3"/>
      <c r="T114" s="72"/>
      <c r="U114" s="72"/>
      <c r="V114" s="72"/>
      <c r="W114" s="72"/>
      <c r="X114" s="72"/>
      <c r="Y114" s="72"/>
      <c r="Z114" s="72"/>
    </row>
    <row r="115" ht="15.75" customHeight="1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2"/>
      <c r="U115" s="72"/>
      <c r="V115" s="72"/>
      <c r="W115" s="72"/>
      <c r="X115" s="72"/>
      <c r="Y115" s="72"/>
      <c r="Z115" s="72"/>
    </row>
    <row r="116" ht="15.75" customHeight="1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3"/>
      <c r="T116" s="72"/>
      <c r="U116" s="72"/>
      <c r="V116" s="72"/>
      <c r="W116" s="72"/>
      <c r="X116" s="72"/>
      <c r="Y116" s="72"/>
      <c r="Z116" s="72"/>
    </row>
    <row r="117" ht="15.75" customHeight="1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3"/>
      <c r="T117" s="72"/>
      <c r="U117" s="72"/>
      <c r="V117" s="72"/>
      <c r="W117" s="72"/>
      <c r="X117" s="72"/>
      <c r="Y117" s="72"/>
      <c r="Z117" s="72"/>
    </row>
    <row r="118" ht="15.75" customHeight="1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3"/>
      <c r="T118" s="72"/>
      <c r="U118" s="72"/>
      <c r="V118" s="72"/>
      <c r="W118" s="72"/>
      <c r="X118" s="72"/>
      <c r="Y118" s="72"/>
      <c r="Z118" s="72"/>
    </row>
    <row r="119" ht="15.75" customHeight="1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3"/>
      <c r="T119" s="72"/>
      <c r="U119" s="72"/>
      <c r="V119" s="72"/>
      <c r="W119" s="72"/>
      <c r="X119" s="72"/>
      <c r="Y119" s="72"/>
      <c r="Z119" s="72"/>
    </row>
    <row r="120" ht="15.75" customHeight="1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3"/>
      <c r="T120" s="72"/>
      <c r="U120" s="72"/>
      <c r="V120" s="72"/>
      <c r="W120" s="72"/>
      <c r="X120" s="72"/>
      <c r="Y120" s="72"/>
      <c r="Z120" s="72"/>
    </row>
    <row r="121" ht="15.75" customHeight="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3"/>
      <c r="T121" s="72"/>
      <c r="U121" s="72"/>
      <c r="V121" s="72"/>
      <c r="W121" s="72"/>
      <c r="X121" s="72"/>
      <c r="Y121" s="72"/>
      <c r="Z121" s="72"/>
    </row>
    <row r="122" ht="15.75" customHeight="1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3"/>
      <c r="T122" s="72"/>
      <c r="U122" s="72"/>
      <c r="V122" s="72"/>
      <c r="W122" s="72"/>
      <c r="X122" s="72"/>
      <c r="Y122" s="72"/>
      <c r="Z122" s="72"/>
    </row>
    <row r="123" ht="15.75" customHeight="1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3"/>
      <c r="T123" s="72"/>
      <c r="U123" s="72"/>
      <c r="V123" s="72"/>
      <c r="W123" s="72"/>
      <c r="X123" s="72"/>
      <c r="Y123" s="72"/>
      <c r="Z123" s="72"/>
    </row>
    <row r="124" ht="15.75" customHeight="1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3"/>
      <c r="T124" s="72"/>
      <c r="U124" s="72"/>
      <c r="V124" s="72"/>
      <c r="W124" s="72"/>
      <c r="X124" s="72"/>
      <c r="Y124" s="72"/>
      <c r="Z124" s="72"/>
    </row>
    <row r="125" ht="15.75" customHeight="1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3"/>
      <c r="T125" s="72"/>
      <c r="U125" s="72"/>
      <c r="V125" s="72"/>
      <c r="W125" s="72"/>
      <c r="X125" s="72"/>
      <c r="Y125" s="72"/>
      <c r="Z125" s="72"/>
    </row>
    <row r="126" ht="15.75" customHeight="1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3"/>
      <c r="T126" s="72"/>
      <c r="U126" s="72"/>
      <c r="V126" s="72"/>
      <c r="W126" s="72"/>
      <c r="X126" s="72"/>
      <c r="Y126" s="72"/>
      <c r="Z126" s="72"/>
    </row>
    <row r="127" ht="15.75" customHeight="1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3"/>
      <c r="T127" s="72"/>
      <c r="U127" s="72"/>
      <c r="V127" s="72"/>
      <c r="W127" s="72"/>
      <c r="X127" s="72"/>
      <c r="Y127" s="72"/>
      <c r="Z127" s="72"/>
    </row>
    <row r="128" ht="15.75" customHeight="1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3"/>
      <c r="T128" s="72"/>
      <c r="U128" s="72"/>
      <c r="V128" s="72"/>
      <c r="W128" s="72"/>
      <c r="X128" s="72"/>
      <c r="Y128" s="72"/>
      <c r="Z128" s="72"/>
    </row>
    <row r="129" ht="15.75" customHeight="1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3"/>
      <c r="T129" s="72"/>
      <c r="U129" s="72"/>
      <c r="V129" s="72"/>
      <c r="W129" s="72"/>
      <c r="X129" s="72"/>
      <c r="Y129" s="72"/>
      <c r="Z129" s="72"/>
    </row>
    <row r="130" ht="15.75" customHeight="1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3"/>
      <c r="T130" s="72"/>
      <c r="U130" s="72"/>
      <c r="V130" s="72"/>
      <c r="W130" s="72"/>
      <c r="X130" s="72"/>
      <c r="Y130" s="72"/>
      <c r="Z130" s="72"/>
    </row>
    <row r="131" ht="15.75" customHeight="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3"/>
      <c r="T131" s="72"/>
      <c r="U131" s="72"/>
      <c r="V131" s="72"/>
      <c r="W131" s="72"/>
      <c r="X131" s="72"/>
      <c r="Y131" s="72"/>
      <c r="Z131" s="72"/>
    </row>
    <row r="132" ht="15.75" customHeight="1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3"/>
      <c r="T132" s="72"/>
      <c r="U132" s="72"/>
      <c r="V132" s="72"/>
      <c r="W132" s="72"/>
      <c r="X132" s="72"/>
      <c r="Y132" s="72"/>
      <c r="Z132" s="72"/>
    </row>
    <row r="133" ht="15.75" customHeight="1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3"/>
      <c r="T133" s="72"/>
      <c r="U133" s="72"/>
      <c r="V133" s="72"/>
      <c r="W133" s="72"/>
      <c r="X133" s="72"/>
      <c r="Y133" s="72"/>
      <c r="Z133" s="72"/>
    </row>
    <row r="134" ht="15.75" customHeight="1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3"/>
      <c r="T134" s="72"/>
      <c r="U134" s="72"/>
      <c r="V134" s="72"/>
      <c r="W134" s="72"/>
      <c r="X134" s="72"/>
      <c r="Y134" s="72"/>
      <c r="Z134" s="72"/>
    </row>
    <row r="135" ht="15.75" customHeight="1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3"/>
      <c r="T135" s="72"/>
      <c r="U135" s="72"/>
      <c r="V135" s="72"/>
      <c r="W135" s="72"/>
      <c r="X135" s="72"/>
      <c r="Y135" s="72"/>
      <c r="Z135" s="72"/>
    </row>
    <row r="136" ht="15.75" customHeight="1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3"/>
      <c r="T136" s="72"/>
      <c r="U136" s="72"/>
      <c r="V136" s="72"/>
      <c r="W136" s="72"/>
      <c r="X136" s="72"/>
      <c r="Y136" s="72"/>
      <c r="Z136" s="72"/>
    </row>
    <row r="137" ht="15.75" customHeight="1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3"/>
      <c r="T137" s="72"/>
      <c r="U137" s="72"/>
      <c r="V137" s="72"/>
      <c r="W137" s="72"/>
      <c r="X137" s="72"/>
      <c r="Y137" s="72"/>
      <c r="Z137" s="72"/>
    </row>
    <row r="138" ht="15.75" customHeight="1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3"/>
      <c r="T138" s="72"/>
      <c r="U138" s="72"/>
      <c r="V138" s="72"/>
      <c r="W138" s="72"/>
      <c r="X138" s="72"/>
      <c r="Y138" s="72"/>
      <c r="Z138" s="72"/>
    </row>
    <row r="139" ht="15.75" customHeight="1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3"/>
      <c r="T139" s="72"/>
      <c r="U139" s="72"/>
      <c r="V139" s="72"/>
      <c r="W139" s="72"/>
      <c r="X139" s="72"/>
      <c r="Y139" s="72"/>
      <c r="Z139" s="72"/>
    </row>
    <row r="140" ht="15.75" customHeight="1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3"/>
      <c r="T140" s="72"/>
      <c r="U140" s="72"/>
      <c r="V140" s="72"/>
      <c r="W140" s="72"/>
      <c r="X140" s="72"/>
      <c r="Y140" s="72"/>
      <c r="Z140" s="72"/>
    </row>
    <row r="141" ht="15.75" customHeight="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3"/>
      <c r="T141" s="72"/>
      <c r="U141" s="72"/>
      <c r="V141" s="72"/>
      <c r="W141" s="72"/>
      <c r="X141" s="72"/>
      <c r="Y141" s="72"/>
      <c r="Z141" s="72"/>
    </row>
    <row r="142" ht="15.75" customHeight="1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3"/>
      <c r="T142" s="72"/>
      <c r="U142" s="72"/>
      <c r="V142" s="72"/>
      <c r="W142" s="72"/>
      <c r="X142" s="72"/>
      <c r="Y142" s="72"/>
      <c r="Z142" s="72"/>
    </row>
    <row r="143" ht="15.75" customHeight="1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3"/>
      <c r="T143" s="72"/>
      <c r="U143" s="72"/>
      <c r="V143" s="72"/>
      <c r="W143" s="72"/>
      <c r="X143" s="72"/>
      <c r="Y143" s="72"/>
      <c r="Z143" s="72"/>
    </row>
    <row r="144" ht="15.75" customHeight="1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3"/>
      <c r="T144" s="72"/>
      <c r="U144" s="72"/>
      <c r="V144" s="72"/>
      <c r="W144" s="72"/>
      <c r="X144" s="72"/>
      <c r="Y144" s="72"/>
      <c r="Z144" s="72"/>
    </row>
    <row r="145" ht="15.75" customHeight="1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3"/>
      <c r="T145" s="72"/>
      <c r="U145" s="72"/>
      <c r="V145" s="72"/>
      <c r="W145" s="72"/>
      <c r="X145" s="72"/>
      <c r="Y145" s="72"/>
      <c r="Z145" s="72"/>
    </row>
    <row r="146" ht="15.75" customHeight="1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3"/>
      <c r="T146" s="72"/>
      <c r="U146" s="72"/>
      <c r="V146" s="72"/>
      <c r="W146" s="72"/>
      <c r="X146" s="72"/>
      <c r="Y146" s="72"/>
      <c r="Z146" s="72"/>
    </row>
    <row r="147" ht="15.75" customHeight="1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3"/>
      <c r="T147" s="72"/>
      <c r="U147" s="72"/>
      <c r="V147" s="72"/>
      <c r="W147" s="72"/>
      <c r="X147" s="72"/>
      <c r="Y147" s="72"/>
      <c r="Z147" s="72"/>
    </row>
    <row r="148" ht="15.75" customHeight="1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3"/>
      <c r="T148" s="72"/>
      <c r="U148" s="72"/>
      <c r="V148" s="72"/>
      <c r="W148" s="72"/>
      <c r="X148" s="72"/>
      <c r="Y148" s="72"/>
      <c r="Z148" s="72"/>
    </row>
    <row r="149" ht="15.75" customHeight="1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3"/>
      <c r="T149" s="72"/>
      <c r="U149" s="72"/>
      <c r="V149" s="72"/>
      <c r="W149" s="72"/>
      <c r="X149" s="72"/>
      <c r="Y149" s="72"/>
      <c r="Z149" s="72"/>
    </row>
    <row r="150" ht="15.75" customHeight="1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3"/>
      <c r="T150" s="72"/>
      <c r="U150" s="72"/>
      <c r="V150" s="72"/>
      <c r="W150" s="72"/>
      <c r="X150" s="72"/>
      <c r="Y150" s="72"/>
      <c r="Z150" s="72"/>
    </row>
    <row r="151" ht="15.75" customHeight="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3"/>
      <c r="T151" s="72"/>
      <c r="U151" s="72"/>
      <c r="V151" s="72"/>
      <c r="W151" s="72"/>
      <c r="X151" s="72"/>
      <c r="Y151" s="72"/>
      <c r="Z151" s="72"/>
    </row>
    <row r="152" ht="15.75" customHeight="1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3"/>
      <c r="T152" s="72"/>
      <c r="U152" s="72"/>
      <c r="V152" s="72"/>
      <c r="W152" s="72"/>
      <c r="X152" s="72"/>
      <c r="Y152" s="72"/>
      <c r="Z152" s="72"/>
    </row>
    <row r="153" ht="15.75" customHeight="1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3"/>
      <c r="T153" s="72"/>
      <c r="U153" s="72"/>
      <c r="V153" s="72"/>
      <c r="W153" s="72"/>
      <c r="X153" s="72"/>
      <c r="Y153" s="72"/>
      <c r="Z153" s="72"/>
    </row>
    <row r="154" ht="15.75" customHeight="1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3"/>
      <c r="T154" s="72"/>
      <c r="U154" s="72"/>
      <c r="V154" s="72"/>
      <c r="W154" s="72"/>
      <c r="X154" s="72"/>
      <c r="Y154" s="72"/>
      <c r="Z154" s="72"/>
    </row>
    <row r="155" ht="15.75" customHeight="1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3"/>
      <c r="T155" s="72"/>
      <c r="U155" s="72"/>
      <c r="V155" s="72"/>
      <c r="W155" s="72"/>
      <c r="X155" s="72"/>
      <c r="Y155" s="72"/>
      <c r="Z155" s="72"/>
    </row>
    <row r="156" ht="15.75" customHeight="1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3"/>
      <c r="T156" s="72"/>
      <c r="U156" s="72"/>
      <c r="V156" s="72"/>
      <c r="W156" s="72"/>
      <c r="X156" s="72"/>
      <c r="Y156" s="72"/>
      <c r="Z156" s="72"/>
    </row>
    <row r="157" ht="15.75" customHeight="1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3"/>
      <c r="T157" s="72"/>
      <c r="U157" s="72"/>
      <c r="V157" s="72"/>
      <c r="W157" s="72"/>
      <c r="X157" s="72"/>
      <c r="Y157" s="72"/>
      <c r="Z157" s="72"/>
    </row>
    <row r="158" ht="15.75" customHeight="1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3"/>
      <c r="T158" s="72"/>
      <c r="U158" s="72"/>
      <c r="V158" s="72"/>
      <c r="W158" s="72"/>
      <c r="X158" s="72"/>
      <c r="Y158" s="72"/>
      <c r="Z158" s="72"/>
    </row>
    <row r="159" ht="15.75" customHeight="1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3"/>
      <c r="T159" s="72"/>
      <c r="U159" s="72"/>
      <c r="V159" s="72"/>
      <c r="W159" s="72"/>
      <c r="X159" s="72"/>
      <c r="Y159" s="72"/>
      <c r="Z159" s="72"/>
    </row>
    <row r="160" ht="15.75" customHeight="1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3"/>
      <c r="T160" s="72"/>
      <c r="U160" s="72"/>
      <c r="V160" s="72"/>
      <c r="W160" s="72"/>
      <c r="X160" s="72"/>
      <c r="Y160" s="72"/>
      <c r="Z160" s="72"/>
    </row>
    <row r="161" ht="15.75" customHeight="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3"/>
      <c r="T161" s="72"/>
      <c r="U161" s="72"/>
      <c r="V161" s="72"/>
      <c r="W161" s="72"/>
      <c r="X161" s="72"/>
      <c r="Y161" s="72"/>
      <c r="Z161" s="72"/>
    </row>
    <row r="162" ht="15.75" customHeight="1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3"/>
      <c r="T162" s="72"/>
      <c r="U162" s="72"/>
      <c r="V162" s="72"/>
      <c r="W162" s="72"/>
      <c r="X162" s="72"/>
      <c r="Y162" s="72"/>
      <c r="Z162" s="72"/>
    </row>
    <row r="163" ht="15.75" customHeight="1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3"/>
      <c r="T163" s="72"/>
      <c r="U163" s="72"/>
      <c r="V163" s="72"/>
      <c r="W163" s="72"/>
      <c r="X163" s="72"/>
      <c r="Y163" s="72"/>
      <c r="Z163" s="72"/>
    </row>
    <row r="164" ht="15.75" customHeight="1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3"/>
      <c r="T164" s="72"/>
      <c r="U164" s="72"/>
      <c r="V164" s="72"/>
      <c r="W164" s="72"/>
      <c r="X164" s="72"/>
      <c r="Y164" s="72"/>
      <c r="Z164" s="72"/>
    </row>
    <row r="165" ht="15.75" customHeight="1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3"/>
      <c r="T165" s="72"/>
      <c r="U165" s="72"/>
      <c r="V165" s="72"/>
      <c r="W165" s="72"/>
      <c r="X165" s="72"/>
      <c r="Y165" s="72"/>
      <c r="Z165" s="72"/>
    </row>
    <row r="166" ht="15.75" customHeight="1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3"/>
      <c r="T166" s="72"/>
      <c r="U166" s="72"/>
      <c r="V166" s="72"/>
      <c r="W166" s="72"/>
      <c r="X166" s="72"/>
      <c r="Y166" s="72"/>
      <c r="Z166" s="72"/>
    </row>
    <row r="167" ht="15.75" customHeight="1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3"/>
      <c r="T167" s="72"/>
      <c r="U167" s="72"/>
      <c r="V167" s="72"/>
      <c r="W167" s="72"/>
      <c r="X167" s="72"/>
      <c r="Y167" s="72"/>
      <c r="Z167" s="72"/>
    </row>
    <row r="168" ht="15.75" customHeight="1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3"/>
      <c r="T168" s="72"/>
      <c r="U168" s="72"/>
      <c r="V168" s="72"/>
      <c r="W168" s="72"/>
      <c r="X168" s="72"/>
      <c r="Y168" s="72"/>
      <c r="Z168" s="72"/>
    </row>
    <row r="169" ht="15.75" customHeight="1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3"/>
      <c r="T169" s="72"/>
      <c r="U169" s="72"/>
      <c r="V169" s="72"/>
      <c r="W169" s="72"/>
      <c r="X169" s="72"/>
      <c r="Y169" s="72"/>
      <c r="Z169" s="72"/>
    </row>
    <row r="170" ht="15.75" customHeight="1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3"/>
      <c r="T170" s="72"/>
      <c r="U170" s="72"/>
      <c r="V170" s="72"/>
      <c r="W170" s="72"/>
      <c r="X170" s="72"/>
      <c r="Y170" s="72"/>
      <c r="Z170" s="72"/>
    </row>
    <row r="171" ht="15.75" customHeight="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3"/>
      <c r="T171" s="72"/>
      <c r="U171" s="72"/>
      <c r="V171" s="72"/>
      <c r="W171" s="72"/>
      <c r="X171" s="72"/>
      <c r="Y171" s="72"/>
      <c r="Z171" s="72"/>
    </row>
    <row r="172" ht="15.75" customHeight="1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3"/>
      <c r="T172" s="72"/>
      <c r="U172" s="72"/>
      <c r="V172" s="72"/>
      <c r="W172" s="72"/>
      <c r="X172" s="72"/>
      <c r="Y172" s="72"/>
      <c r="Z172" s="72"/>
    </row>
    <row r="173" ht="15.75" customHeight="1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3"/>
      <c r="T173" s="72"/>
      <c r="U173" s="72"/>
      <c r="V173" s="72"/>
      <c r="W173" s="72"/>
      <c r="X173" s="72"/>
      <c r="Y173" s="72"/>
      <c r="Z173" s="72"/>
    </row>
    <row r="174" ht="15.75" customHeight="1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3"/>
      <c r="T174" s="72"/>
      <c r="U174" s="72"/>
      <c r="V174" s="72"/>
      <c r="W174" s="72"/>
      <c r="X174" s="72"/>
      <c r="Y174" s="72"/>
      <c r="Z174" s="72"/>
    </row>
    <row r="175" ht="15.75" customHeight="1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3"/>
      <c r="T175" s="72"/>
      <c r="U175" s="72"/>
      <c r="V175" s="72"/>
      <c r="W175" s="72"/>
      <c r="X175" s="72"/>
      <c r="Y175" s="72"/>
      <c r="Z175" s="72"/>
    </row>
    <row r="176" ht="15.75" customHeight="1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3"/>
      <c r="T176" s="72"/>
      <c r="U176" s="72"/>
      <c r="V176" s="72"/>
      <c r="W176" s="72"/>
      <c r="X176" s="72"/>
      <c r="Y176" s="72"/>
      <c r="Z176" s="72"/>
    </row>
    <row r="177" ht="15.75" customHeight="1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3"/>
      <c r="T177" s="72"/>
      <c r="U177" s="72"/>
      <c r="V177" s="72"/>
      <c r="W177" s="72"/>
      <c r="X177" s="72"/>
      <c r="Y177" s="72"/>
      <c r="Z177" s="72"/>
    </row>
    <row r="178" ht="15.75" customHeight="1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3"/>
      <c r="T178" s="72"/>
      <c r="U178" s="72"/>
      <c r="V178" s="72"/>
      <c r="W178" s="72"/>
      <c r="X178" s="72"/>
      <c r="Y178" s="72"/>
      <c r="Z178" s="72"/>
    </row>
    <row r="179" ht="15.75" customHeight="1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3"/>
      <c r="T179" s="72"/>
      <c r="U179" s="72"/>
      <c r="V179" s="72"/>
      <c r="W179" s="72"/>
      <c r="X179" s="72"/>
      <c r="Y179" s="72"/>
      <c r="Z179" s="72"/>
    </row>
    <row r="180" ht="15.75" customHeight="1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3"/>
      <c r="T180" s="72"/>
      <c r="U180" s="72"/>
      <c r="V180" s="72"/>
      <c r="W180" s="72"/>
      <c r="X180" s="72"/>
      <c r="Y180" s="72"/>
      <c r="Z180" s="72"/>
    </row>
    <row r="181" ht="15.75" customHeight="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3"/>
      <c r="T181" s="72"/>
      <c r="U181" s="72"/>
      <c r="V181" s="72"/>
      <c r="W181" s="72"/>
      <c r="X181" s="72"/>
      <c r="Y181" s="72"/>
      <c r="Z181" s="72"/>
    </row>
    <row r="182" ht="15.75" customHeight="1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3"/>
      <c r="T182" s="72"/>
      <c r="U182" s="72"/>
      <c r="V182" s="72"/>
      <c r="W182" s="72"/>
      <c r="X182" s="72"/>
      <c r="Y182" s="72"/>
      <c r="Z182" s="72"/>
    </row>
    <row r="183" ht="15.75" customHeight="1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3"/>
      <c r="T183" s="72"/>
      <c r="U183" s="72"/>
      <c r="V183" s="72"/>
      <c r="W183" s="72"/>
      <c r="X183" s="72"/>
      <c r="Y183" s="72"/>
      <c r="Z183" s="72"/>
    </row>
    <row r="184" ht="15.75" customHeight="1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3"/>
      <c r="T184" s="72"/>
      <c r="U184" s="72"/>
      <c r="V184" s="72"/>
      <c r="W184" s="72"/>
      <c r="X184" s="72"/>
      <c r="Y184" s="72"/>
      <c r="Z184" s="72"/>
    </row>
    <row r="185" ht="15.75" customHeight="1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3"/>
      <c r="T185" s="72"/>
      <c r="U185" s="72"/>
      <c r="V185" s="72"/>
      <c r="W185" s="72"/>
      <c r="X185" s="72"/>
      <c r="Y185" s="72"/>
      <c r="Z185" s="72"/>
    </row>
    <row r="186" ht="15.75" customHeight="1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3"/>
      <c r="T186" s="72"/>
      <c r="U186" s="72"/>
      <c r="V186" s="72"/>
      <c r="W186" s="72"/>
      <c r="X186" s="72"/>
      <c r="Y186" s="72"/>
      <c r="Z186" s="72"/>
    </row>
    <row r="187" ht="15.75" customHeight="1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3"/>
      <c r="T187" s="72"/>
      <c r="U187" s="72"/>
      <c r="V187" s="72"/>
      <c r="W187" s="72"/>
      <c r="X187" s="72"/>
      <c r="Y187" s="72"/>
      <c r="Z187" s="72"/>
    </row>
    <row r="188" ht="15.75" customHeight="1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3"/>
      <c r="T188" s="72"/>
      <c r="U188" s="72"/>
      <c r="V188" s="72"/>
      <c r="W188" s="72"/>
      <c r="X188" s="72"/>
      <c r="Y188" s="72"/>
      <c r="Z188" s="72"/>
    </row>
    <row r="189" ht="15.75" customHeight="1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3"/>
      <c r="T189" s="72"/>
      <c r="U189" s="72"/>
      <c r="V189" s="72"/>
      <c r="W189" s="72"/>
      <c r="X189" s="72"/>
      <c r="Y189" s="72"/>
      <c r="Z189" s="72"/>
    </row>
    <row r="190" ht="15.75" customHeight="1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3"/>
      <c r="T190" s="72"/>
      <c r="U190" s="72"/>
      <c r="V190" s="72"/>
      <c r="W190" s="72"/>
      <c r="X190" s="72"/>
      <c r="Y190" s="72"/>
      <c r="Z190" s="72"/>
    </row>
    <row r="191" ht="15.75" customHeight="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3"/>
      <c r="T191" s="72"/>
      <c r="U191" s="72"/>
      <c r="V191" s="72"/>
      <c r="W191" s="72"/>
      <c r="X191" s="72"/>
      <c r="Y191" s="72"/>
      <c r="Z191" s="72"/>
    </row>
    <row r="192" ht="15.75" customHeight="1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3"/>
      <c r="T192" s="72"/>
      <c r="U192" s="72"/>
      <c r="V192" s="72"/>
      <c r="W192" s="72"/>
      <c r="X192" s="72"/>
      <c r="Y192" s="72"/>
      <c r="Z192" s="72"/>
    </row>
    <row r="193" ht="15.75" customHeight="1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3"/>
      <c r="T193" s="72"/>
      <c r="U193" s="72"/>
      <c r="V193" s="72"/>
      <c r="W193" s="72"/>
      <c r="X193" s="72"/>
      <c r="Y193" s="72"/>
      <c r="Z193" s="72"/>
    </row>
    <row r="194" ht="15.75" customHeight="1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3"/>
      <c r="T194" s="72"/>
      <c r="U194" s="72"/>
      <c r="V194" s="72"/>
      <c r="W194" s="72"/>
      <c r="X194" s="72"/>
      <c r="Y194" s="72"/>
      <c r="Z194" s="72"/>
    </row>
    <row r="195" ht="15.75" customHeight="1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3"/>
      <c r="T195" s="72"/>
      <c r="U195" s="72"/>
      <c r="V195" s="72"/>
      <c r="W195" s="72"/>
      <c r="X195" s="72"/>
      <c r="Y195" s="72"/>
      <c r="Z195" s="72"/>
    </row>
    <row r="196" ht="15.75" customHeight="1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3"/>
      <c r="T196" s="72"/>
      <c r="U196" s="72"/>
      <c r="V196" s="72"/>
      <c r="W196" s="72"/>
      <c r="X196" s="72"/>
      <c r="Y196" s="72"/>
      <c r="Z196" s="72"/>
    </row>
    <row r="197" ht="15.75" customHeight="1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3"/>
      <c r="T197" s="72"/>
      <c r="U197" s="72"/>
      <c r="V197" s="72"/>
      <c r="W197" s="72"/>
      <c r="X197" s="72"/>
      <c r="Y197" s="72"/>
      <c r="Z197" s="72"/>
    </row>
    <row r="198" ht="15.75" customHeight="1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3"/>
      <c r="T198" s="72"/>
      <c r="U198" s="72"/>
      <c r="V198" s="72"/>
      <c r="W198" s="72"/>
      <c r="X198" s="72"/>
      <c r="Y198" s="72"/>
      <c r="Z198" s="72"/>
    </row>
    <row r="199" ht="15.75" customHeight="1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3"/>
      <c r="T199" s="72"/>
      <c r="U199" s="72"/>
      <c r="V199" s="72"/>
      <c r="W199" s="72"/>
      <c r="X199" s="72"/>
      <c r="Y199" s="72"/>
      <c r="Z199" s="72"/>
    </row>
    <row r="200" ht="15.75" customHeight="1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3"/>
      <c r="T200" s="72"/>
      <c r="U200" s="72"/>
      <c r="V200" s="72"/>
      <c r="W200" s="72"/>
      <c r="X200" s="72"/>
      <c r="Y200" s="72"/>
      <c r="Z200" s="72"/>
    </row>
    <row r="201" ht="15.75" customHeight="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3"/>
      <c r="T201" s="72"/>
      <c r="U201" s="72"/>
      <c r="V201" s="72"/>
      <c r="W201" s="72"/>
      <c r="X201" s="72"/>
      <c r="Y201" s="72"/>
      <c r="Z201" s="72"/>
    </row>
    <row r="202" ht="15.75" customHeight="1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3"/>
      <c r="T202" s="72"/>
      <c r="U202" s="72"/>
      <c r="V202" s="72"/>
      <c r="W202" s="72"/>
      <c r="X202" s="72"/>
      <c r="Y202" s="72"/>
      <c r="Z202" s="72"/>
    </row>
    <row r="203" ht="15.75" customHeight="1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3"/>
      <c r="T203" s="72"/>
      <c r="U203" s="72"/>
      <c r="V203" s="72"/>
      <c r="W203" s="72"/>
      <c r="X203" s="72"/>
      <c r="Y203" s="72"/>
      <c r="Z203" s="72"/>
    </row>
    <row r="204" ht="15.75" customHeight="1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3"/>
      <c r="T204" s="72"/>
      <c r="U204" s="72"/>
      <c r="V204" s="72"/>
      <c r="W204" s="72"/>
      <c r="X204" s="72"/>
      <c r="Y204" s="72"/>
      <c r="Z204" s="72"/>
    </row>
    <row r="205" ht="15.75" customHeight="1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3"/>
      <c r="T205" s="72"/>
      <c r="U205" s="72"/>
      <c r="V205" s="72"/>
      <c r="W205" s="72"/>
      <c r="X205" s="72"/>
      <c r="Y205" s="72"/>
      <c r="Z205" s="72"/>
    </row>
    <row r="206" ht="15.75" customHeight="1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3"/>
      <c r="T206" s="72"/>
      <c r="U206" s="72"/>
      <c r="V206" s="72"/>
      <c r="W206" s="72"/>
      <c r="X206" s="72"/>
      <c r="Y206" s="72"/>
      <c r="Z206" s="72"/>
    </row>
    <row r="207" ht="15.75" customHeight="1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3"/>
      <c r="T207" s="72"/>
      <c r="U207" s="72"/>
      <c r="V207" s="72"/>
      <c r="W207" s="72"/>
      <c r="X207" s="72"/>
      <c r="Y207" s="72"/>
      <c r="Z207" s="72"/>
    </row>
    <row r="208" ht="15.75" customHeight="1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3"/>
      <c r="T208" s="72"/>
      <c r="U208" s="72"/>
      <c r="V208" s="72"/>
      <c r="W208" s="72"/>
      <c r="X208" s="72"/>
      <c r="Y208" s="72"/>
      <c r="Z208" s="72"/>
    </row>
    <row r="209" ht="15.75" customHeight="1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3"/>
      <c r="T209" s="72"/>
      <c r="U209" s="72"/>
      <c r="V209" s="72"/>
      <c r="W209" s="72"/>
      <c r="X209" s="72"/>
      <c r="Y209" s="72"/>
      <c r="Z209" s="72"/>
    </row>
    <row r="210" ht="15.75" customHeight="1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3"/>
      <c r="T210" s="72"/>
      <c r="U210" s="72"/>
      <c r="V210" s="72"/>
      <c r="W210" s="72"/>
      <c r="X210" s="72"/>
      <c r="Y210" s="72"/>
      <c r="Z210" s="72"/>
    </row>
    <row r="211" ht="15.75" customHeight="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3"/>
      <c r="T211" s="72"/>
      <c r="U211" s="72"/>
      <c r="V211" s="72"/>
      <c r="W211" s="72"/>
      <c r="X211" s="72"/>
      <c r="Y211" s="72"/>
      <c r="Z211" s="72"/>
    </row>
    <row r="212" ht="15.75" customHeight="1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3"/>
      <c r="T212" s="72"/>
      <c r="U212" s="72"/>
      <c r="V212" s="72"/>
      <c r="W212" s="72"/>
      <c r="X212" s="72"/>
      <c r="Y212" s="72"/>
      <c r="Z212" s="72"/>
    </row>
    <row r="213" ht="15.75" customHeight="1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3"/>
      <c r="T213" s="72"/>
      <c r="U213" s="72"/>
      <c r="V213" s="72"/>
      <c r="W213" s="72"/>
      <c r="X213" s="72"/>
      <c r="Y213" s="72"/>
      <c r="Z213" s="72"/>
    </row>
    <row r="214" ht="15.75" customHeight="1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3"/>
      <c r="T214" s="72"/>
      <c r="U214" s="72"/>
      <c r="V214" s="72"/>
      <c r="W214" s="72"/>
      <c r="X214" s="72"/>
      <c r="Y214" s="72"/>
      <c r="Z214" s="72"/>
    </row>
    <row r="215" ht="15.75" customHeight="1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3"/>
      <c r="T215" s="72"/>
      <c r="U215" s="72"/>
      <c r="V215" s="72"/>
      <c r="W215" s="72"/>
      <c r="X215" s="72"/>
      <c r="Y215" s="72"/>
      <c r="Z215" s="72"/>
    </row>
    <row r="216" ht="15.75" customHeight="1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3"/>
      <c r="T216" s="72"/>
      <c r="U216" s="72"/>
      <c r="V216" s="72"/>
      <c r="W216" s="72"/>
      <c r="X216" s="72"/>
      <c r="Y216" s="72"/>
      <c r="Z216" s="72"/>
    </row>
    <row r="217" ht="15.75" customHeight="1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3"/>
      <c r="T217" s="72"/>
      <c r="U217" s="72"/>
      <c r="V217" s="72"/>
      <c r="W217" s="72"/>
      <c r="X217" s="72"/>
      <c r="Y217" s="72"/>
      <c r="Z217" s="72"/>
    </row>
    <row r="218" ht="15.75" customHeight="1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3"/>
      <c r="T218" s="72"/>
      <c r="U218" s="72"/>
      <c r="V218" s="72"/>
      <c r="W218" s="72"/>
      <c r="X218" s="72"/>
      <c r="Y218" s="72"/>
      <c r="Z218" s="72"/>
    </row>
    <row r="219" ht="15.75" customHeight="1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3"/>
      <c r="T219" s="72"/>
      <c r="U219" s="72"/>
      <c r="V219" s="72"/>
      <c r="W219" s="72"/>
      <c r="X219" s="72"/>
      <c r="Y219" s="72"/>
      <c r="Z219" s="72"/>
    </row>
    <row r="220" ht="15.75" customHeight="1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3"/>
      <c r="T220" s="72"/>
      <c r="U220" s="72"/>
      <c r="V220" s="72"/>
      <c r="W220" s="72"/>
      <c r="X220" s="72"/>
      <c r="Y220" s="72"/>
      <c r="Z220" s="72"/>
    </row>
    <row r="221" ht="15.75" customHeight="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3"/>
      <c r="T221" s="72"/>
      <c r="U221" s="72"/>
      <c r="V221" s="72"/>
      <c r="W221" s="72"/>
      <c r="X221" s="72"/>
      <c r="Y221" s="72"/>
      <c r="Z221" s="72"/>
    </row>
    <row r="222" ht="15.75" customHeight="1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3"/>
      <c r="T222" s="72"/>
      <c r="U222" s="72"/>
      <c r="V222" s="72"/>
      <c r="W222" s="72"/>
      <c r="X222" s="72"/>
      <c r="Y222" s="72"/>
      <c r="Z222" s="72"/>
    </row>
    <row r="223" ht="15.75" customHeight="1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3"/>
      <c r="T223" s="72"/>
      <c r="U223" s="72"/>
      <c r="V223" s="72"/>
      <c r="W223" s="72"/>
      <c r="X223" s="72"/>
      <c r="Y223" s="72"/>
      <c r="Z223" s="72"/>
    </row>
    <row r="224" ht="15.75" customHeight="1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3"/>
      <c r="T224" s="72"/>
      <c r="U224" s="72"/>
      <c r="V224" s="72"/>
      <c r="W224" s="72"/>
      <c r="X224" s="72"/>
      <c r="Y224" s="72"/>
      <c r="Z224" s="72"/>
    </row>
    <row r="225" ht="15.75" customHeight="1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3"/>
      <c r="T225" s="72"/>
      <c r="U225" s="72"/>
      <c r="V225" s="72"/>
      <c r="W225" s="72"/>
      <c r="X225" s="72"/>
      <c r="Y225" s="72"/>
      <c r="Z225" s="72"/>
    </row>
    <row r="226" ht="15.75" customHeight="1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3"/>
      <c r="T226" s="72"/>
      <c r="U226" s="72"/>
      <c r="V226" s="72"/>
      <c r="W226" s="72"/>
      <c r="X226" s="72"/>
      <c r="Y226" s="72"/>
      <c r="Z226" s="72"/>
    </row>
    <row r="227" ht="15.75" customHeight="1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3"/>
      <c r="T227" s="72"/>
      <c r="U227" s="72"/>
      <c r="V227" s="72"/>
      <c r="W227" s="72"/>
      <c r="X227" s="72"/>
      <c r="Y227" s="72"/>
      <c r="Z227" s="72"/>
    </row>
    <row r="228" ht="15.75" customHeight="1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3"/>
      <c r="T228" s="72"/>
      <c r="U228" s="72"/>
      <c r="V228" s="72"/>
      <c r="W228" s="72"/>
      <c r="X228" s="72"/>
      <c r="Y228" s="72"/>
      <c r="Z228" s="72"/>
    </row>
    <row r="229" ht="15.75" customHeight="1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3"/>
      <c r="T229" s="72"/>
      <c r="U229" s="72"/>
      <c r="V229" s="72"/>
      <c r="W229" s="72"/>
      <c r="X229" s="72"/>
      <c r="Y229" s="72"/>
      <c r="Z229" s="72"/>
    </row>
    <row r="230" ht="15.75" customHeight="1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3"/>
      <c r="T230" s="72"/>
      <c r="U230" s="72"/>
      <c r="V230" s="72"/>
      <c r="W230" s="72"/>
      <c r="X230" s="72"/>
      <c r="Y230" s="72"/>
      <c r="Z230" s="72"/>
    </row>
    <row r="231" ht="15.75" customHeight="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3"/>
      <c r="T231" s="72"/>
      <c r="U231" s="72"/>
      <c r="V231" s="72"/>
      <c r="W231" s="72"/>
      <c r="X231" s="72"/>
      <c r="Y231" s="72"/>
      <c r="Z231" s="72"/>
    </row>
    <row r="232" ht="15.75" customHeight="1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3"/>
      <c r="T232" s="72"/>
      <c r="U232" s="72"/>
      <c r="V232" s="72"/>
      <c r="W232" s="72"/>
      <c r="X232" s="72"/>
      <c r="Y232" s="72"/>
      <c r="Z232" s="72"/>
    </row>
    <row r="233" ht="15.75" customHeight="1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3"/>
      <c r="T233" s="72"/>
      <c r="U233" s="72"/>
      <c r="V233" s="72"/>
      <c r="W233" s="72"/>
      <c r="X233" s="72"/>
      <c r="Y233" s="72"/>
      <c r="Z233" s="72"/>
    </row>
    <row r="234" ht="15.75" customHeight="1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3"/>
      <c r="T234" s="72"/>
      <c r="U234" s="72"/>
      <c r="V234" s="72"/>
      <c r="W234" s="72"/>
      <c r="X234" s="72"/>
      <c r="Y234" s="72"/>
      <c r="Z234" s="72"/>
    </row>
    <row r="235" ht="15.75" customHeight="1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3"/>
      <c r="T235" s="72"/>
      <c r="U235" s="72"/>
      <c r="V235" s="72"/>
      <c r="W235" s="72"/>
      <c r="X235" s="72"/>
      <c r="Y235" s="72"/>
      <c r="Z235" s="72"/>
    </row>
    <row r="236" ht="15.75" customHeight="1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3"/>
      <c r="T236" s="72"/>
      <c r="U236" s="72"/>
      <c r="V236" s="72"/>
      <c r="W236" s="72"/>
      <c r="X236" s="72"/>
      <c r="Y236" s="72"/>
      <c r="Z236" s="72"/>
    </row>
    <row r="237" ht="15.75" customHeight="1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3"/>
      <c r="T237" s="72"/>
      <c r="U237" s="72"/>
      <c r="V237" s="72"/>
      <c r="W237" s="72"/>
      <c r="X237" s="72"/>
      <c r="Y237" s="72"/>
      <c r="Z237" s="72"/>
    </row>
    <row r="238" ht="15.75" customHeight="1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3"/>
      <c r="T238" s="72"/>
      <c r="U238" s="72"/>
      <c r="V238" s="72"/>
      <c r="W238" s="72"/>
      <c r="X238" s="72"/>
      <c r="Y238" s="72"/>
      <c r="Z238" s="72"/>
    </row>
    <row r="239" ht="15.75" customHeight="1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3"/>
      <c r="T239" s="72"/>
      <c r="U239" s="72"/>
      <c r="V239" s="72"/>
      <c r="W239" s="72"/>
      <c r="X239" s="72"/>
      <c r="Y239" s="72"/>
      <c r="Z239" s="72"/>
    </row>
    <row r="240" ht="15.75" customHeight="1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3"/>
      <c r="T240" s="72"/>
      <c r="U240" s="72"/>
      <c r="V240" s="72"/>
      <c r="W240" s="72"/>
      <c r="X240" s="72"/>
      <c r="Y240" s="72"/>
      <c r="Z240" s="72"/>
    </row>
    <row r="241" ht="15.75" customHeight="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3"/>
      <c r="T241" s="72"/>
      <c r="U241" s="72"/>
      <c r="V241" s="72"/>
      <c r="W241" s="72"/>
      <c r="X241" s="72"/>
      <c r="Y241" s="72"/>
      <c r="Z241" s="72"/>
    </row>
    <row r="242" ht="15.75" customHeight="1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3"/>
      <c r="T242" s="72"/>
      <c r="U242" s="72"/>
      <c r="V242" s="72"/>
      <c r="W242" s="72"/>
      <c r="X242" s="72"/>
      <c r="Y242" s="72"/>
      <c r="Z242" s="72"/>
    </row>
    <row r="243" ht="15.75" customHeight="1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3"/>
      <c r="T243" s="72"/>
      <c r="U243" s="72"/>
      <c r="V243" s="72"/>
      <c r="W243" s="72"/>
      <c r="X243" s="72"/>
      <c r="Y243" s="72"/>
      <c r="Z243" s="72"/>
    </row>
    <row r="244" ht="15.75" customHeight="1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3"/>
      <c r="T244" s="72"/>
      <c r="U244" s="72"/>
      <c r="V244" s="72"/>
      <c r="W244" s="72"/>
      <c r="X244" s="72"/>
      <c r="Y244" s="72"/>
      <c r="Z244" s="72"/>
    </row>
    <row r="245" ht="15.75" customHeight="1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3"/>
      <c r="T245" s="72"/>
      <c r="U245" s="72"/>
      <c r="V245" s="72"/>
      <c r="W245" s="72"/>
      <c r="X245" s="72"/>
      <c r="Y245" s="72"/>
      <c r="Z245" s="72"/>
    </row>
    <row r="246" ht="15.75" customHeight="1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3"/>
      <c r="T246" s="72"/>
      <c r="U246" s="72"/>
      <c r="V246" s="72"/>
      <c r="W246" s="72"/>
      <c r="X246" s="72"/>
      <c r="Y246" s="72"/>
      <c r="Z246" s="72"/>
    </row>
    <row r="247" ht="15.75" customHeight="1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3"/>
      <c r="T247" s="72"/>
      <c r="U247" s="72"/>
      <c r="V247" s="72"/>
      <c r="W247" s="72"/>
      <c r="X247" s="72"/>
      <c r="Y247" s="72"/>
      <c r="Z247" s="72"/>
    </row>
    <row r="248" ht="15.75" customHeight="1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3"/>
      <c r="T248" s="72"/>
      <c r="U248" s="72"/>
      <c r="V248" s="72"/>
      <c r="W248" s="72"/>
      <c r="X248" s="72"/>
      <c r="Y248" s="72"/>
      <c r="Z248" s="72"/>
    </row>
    <row r="249" ht="15.75" customHeight="1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3"/>
      <c r="T249" s="72"/>
      <c r="U249" s="72"/>
      <c r="V249" s="72"/>
      <c r="W249" s="72"/>
      <c r="X249" s="72"/>
      <c r="Y249" s="72"/>
      <c r="Z249" s="72"/>
    </row>
    <row r="250" ht="15.75" customHeight="1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3"/>
      <c r="T250" s="72"/>
      <c r="U250" s="72"/>
      <c r="V250" s="72"/>
      <c r="W250" s="72"/>
      <c r="X250" s="72"/>
      <c r="Y250" s="72"/>
      <c r="Z250" s="72"/>
    </row>
    <row r="251" ht="15.75" customHeight="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3"/>
      <c r="T251" s="72"/>
      <c r="U251" s="72"/>
      <c r="V251" s="72"/>
      <c r="W251" s="72"/>
      <c r="X251" s="72"/>
      <c r="Y251" s="72"/>
      <c r="Z251" s="72"/>
    </row>
    <row r="252" ht="15.75" customHeight="1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3"/>
      <c r="T252" s="72"/>
      <c r="U252" s="72"/>
      <c r="V252" s="72"/>
      <c r="W252" s="72"/>
      <c r="X252" s="72"/>
      <c r="Y252" s="72"/>
      <c r="Z252" s="72"/>
    </row>
    <row r="253" ht="15.75" customHeight="1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3"/>
      <c r="T253" s="72"/>
      <c r="U253" s="72"/>
      <c r="V253" s="72"/>
      <c r="W253" s="72"/>
      <c r="X253" s="72"/>
      <c r="Y253" s="72"/>
      <c r="Z253" s="72"/>
    </row>
    <row r="254" ht="15.75" customHeight="1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3"/>
      <c r="T254" s="72"/>
      <c r="U254" s="72"/>
      <c r="V254" s="72"/>
      <c r="W254" s="72"/>
      <c r="X254" s="72"/>
      <c r="Y254" s="72"/>
      <c r="Z254" s="72"/>
    </row>
    <row r="255" ht="15.75" customHeight="1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3"/>
      <c r="T255" s="72"/>
      <c r="U255" s="72"/>
      <c r="V255" s="72"/>
      <c r="W255" s="72"/>
      <c r="X255" s="72"/>
      <c r="Y255" s="72"/>
      <c r="Z255" s="72"/>
    </row>
    <row r="256" ht="15.75" customHeight="1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3"/>
      <c r="T256" s="72"/>
      <c r="U256" s="72"/>
      <c r="V256" s="72"/>
      <c r="W256" s="72"/>
      <c r="X256" s="72"/>
      <c r="Y256" s="72"/>
      <c r="Z256" s="72"/>
    </row>
    <row r="257" ht="15.75" customHeight="1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3"/>
      <c r="T257" s="72"/>
      <c r="U257" s="72"/>
      <c r="V257" s="72"/>
      <c r="W257" s="72"/>
      <c r="X257" s="72"/>
      <c r="Y257" s="72"/>
      <c r="Z257" s="72"/>
    </row>
    <row r="258" ht="15.75" customHeight="1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3"/>
      <c r="T258" s="72"/>
      <c r="U258" s="72"/>
      <c r="V258" s="72"/>
      <c r="W258" s="72"/>
      <c r="X258" s="72"/>
      <c r="Y258" s="72"/>
      <c r="Z258" s="72"/>
    </row>
    <row r="259" ht="15.75" customHeight="1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3"/>
      <c r="T259" s="72"/>
      <c r="U259" s="72"/>
      <c r="V259" s="72"/>
      <c r="W259" s="72"/>
      <c r="X259" s="72"/>
      <c r="Y259" s="72"/>
      <c r="Z259" s="72"/>
    </row>
    <row r="260" ht="15.75" customHeight="1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3"/>
      <c r="T260" s="72"/>
      <c r="U260" s="72"/>
      <c r="V260" s="72"/>
      <c r="W260" s="72"/>
      <c r="X260" s="72"/>
      <c r="Y260" s="72"/>
      <c r="Z260" s="72"/>
    </row>
    <row r="261" ht="15.75" customHeight="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3"/>
      <c r="T261" s="72"/>
      <c r="U261" s="72"/>
      <c r="V261" s="72"/>
      <c r="W261" s="72"/>
      <c r="X261" s="72"/>
      <c r="Y261" s="72"/>
      <c r="Z261" s="72"/>
    </row>
    <row r="262" ht="15.75" customHeight="1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3"/>
      <c r="T262" s="72"/>
      <c r="U262" s="72"/>
      <c r="V262" s="72"/>
      <c r="W262" s="72"/>
      <c r="X262" s="72"/>
      <c r="Y262" s="72"/>
      <c r="Z262" s="72"/>
    </row>
    <row r="263" ht="15.75" customHeight="1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3"/>
      <c r="T263" s="72"/>
      <c r="U263" s="72"/>
      <c r="V263" s="72"/>
      <c r="W263" s="72"/>
      <c r="X263" s="72"/>
      <c r="Y263" s="72"/>
      <c r="Z263" s="72"/>
    </row>
    <row r="264" ht="15.75" customHeight="1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3"/>
      <c r="T264" s="72"/>
      <c r="U264" s="72"/>
      <c r="V264" s="72"/>
      <c r="W264" s="72"/>
      <c r="X264" s="72"/>
      <c r="Y264" s="72"/>
      <c r="Z264" s="72"/>
    </row>
    <row r="265" ht="15.75" customHeight="1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3"/>
      <c r="T265" s="72"/>
      <c r="U265" s="72"/>
      <c r="V265" s="72"/>
      <c r="W265" s="72"/>
      <c r="X265" s="72"/>
      <c r="Y265" s="72"/>
      <c r="Z265" s="72"/>
    </row>
    <row r="266" ht="15.75" customHeight="1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3"/>
      <c r="T266" s="72"/>
      <c r="U266" s="72"/>
      <c r="V266" s="72"/>
      <c r="W266" s="72"/>
      <c r="X266" s="72"/>
      <c r="Y266" s="72"/>
      <c r="Z266" s="72"/>
    </row>
    <row r="267" ht="15.75" customHeight="1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3"/>
      <c r="T267" s="72"/>
      <c r="U267" s="72"/>
      <c r="V267" s="72"/>
      <c r="W267" s="72"/>
      <c r="X267" s="72"/>
      <c r="Y267" s="72"/>
      <c r="Z267" s="72"/>
    </row>
    <row r="268" ht="15.75" customHeight="1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3"/>
      <c r="T268" s="72"/>
      <c r="U268" s="72"/>
      <c r="V268" s="72"/>
      <c r="W268" s="72"/>
      <c r="X268" s="72"/>
      <c r="Y268" s="72"/>
      <c r="Z268" s="72"/>
    </row>
    <row r="269" ht="15.75" customHeight="1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3"/>
      <c r="T269" s="72"/>
      <c r="U269" s="72"/>
      <c r="V269" s="72"/>
      <c r="W269" s="72"/>
      <c r="X269" s="72"/>
      <c r="Y269" s="72"/>
      <c r="Z269" s="72"/>
    </row>
    <row r="270" ht="15.75" customHeight="1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3"/>
      <c r="T270" s="72"/>
      <c r="U270" s="72"/>
      <c r="V270" s="72"/>
      <c r="W270" s="72"/>
      <c r="X270" s="72"/>
      <c r="Y270" s="72"/>
      <c r="Z270" s="72"/>
    </row>
    <row r="271" ht="15.75" customHeight="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3"/>
      <c r="T271" s="72"/>
      <c r="U271" s="72"/>
      <c r="V271" s="72"/>
      <c r="W271" s="72"/>
      <c r="X271" s="72"/>
      <c r="Y271" s="72"/>
      <c r="Z271" s="72"/>
    </row>
    <row r="272" ht="15.75" customHeight="1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3"/>
      <c r="T272" s="72"/>
      <c r="U272" s="72"/>
      <c r="V272" s="72"/>
      <c r="W272" s="72"/>
      <c r="X272" s="72"/>
      <c r="Y272" s="72"/>
      <c r="Z272" s="72"/>
    </row>
    <row r="273" ht="15.75" customHeight="1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3"/>
      <c r="T273" s="72"/>
      <c r="U273" s="72"/>
      <c r="V273" s="72"/>
      <c r="W273" s="72"/>
      <c r="X273" s="72"/>
      <c r="Y273" s="72"/>
      <c r="Z273" s="72"/>
    </row>
    <row r="274" ht="15.75" customHeight="1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3"/>
      <c r="T274" s="72"/>
      <c r="U274" s="72"/>
      <c r="V274" s="72"/>
      <c r="W274" s="72"/>
      <c r="X274" s="72"/>
      <c r="Y274" s="72"/>
      <c r="Z274" s="72"/>
    </row>
    <row r="275" ht="15.75" customHeight="1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3"/>
      <c r="T275" s="72"/>
      <c r="U275" s="72"/>
      <c r="V275" s="72"/>
      <c r="W275" s="72"/>
      <c r="X275" s="72"/>
      <c r="Y275" s="72"/>
      <c r="Z275" s="72"/>
    </row>
    <row r="276" ht="15.75" customHeight="1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3"/>
      <c r="T276" s="72"/>
      <c r="U276" s="72"/>
      <c r="V276" s="72"/>
      <c r="W276" s="72"/>
      <c r="X276" s="72"/>
      <c r="Y276" s="72"/>
      <c r="Z276" s="72"/>
    </row>
    <row r="277" ht="15.75" customHeight="1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3"/>
      <c r="T277" s="72"/>
      <c r="U277" s="72"/>
      <c r="V277" s="72"/>
      <c r="W277" s="72"/>
      <c r="X277" s="72"/>
      <c r="Y277" s="72"/>
      <c r="Z277" s="72"/>
    </row>
    <row r="278" ht="15.75" customHeight="1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3"/>
      <c r="T278" s="72"/>
      <c r="U278" s="72"/>
      <c r="V278" s="72"/>
      <c r="W278" s="72"/>
      <c r="X278" s="72"/>
      <c r="Y278" s="72"/>
      <c r="Z278" s="72"/>
    </row>
    <row r="279" ht="15.75" customHeight="1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3"/>
      <c r="T279" s="72"/>
      <c r="U279" s="72"/>
      <c r="V279" s="72"/>
      <c r="W279" s="72"/>
      <c r="X279" s="72"/>
      <c r="Y279" s="72"/>
      <c r="Z279" s="72"/>
    </row>
    <row r="280" ht="15.75" customHeight="1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3"/>
      <c r="T280" s="72"/>
      <c r="U280" s="72"/>
      <c r="V280" s="72"/>
      <c r="W280" s="72"/>
      <c r="X280" s="72"/>
      <c r="Y280" s="72"/>
      <c r="Z280" s="72"/>
    </row>
    <row r="281" ht="15.75" customHeight="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3"/>
      <c r="T281" s="72"/>
      <c r="U281" s="72"/>
      <c r="V281" s="72"/>
      <c r="W281" s="72"/>
      <c r="X281" s="72"/>
      <c r="Y281" s="72"/>
      <c r="Z281" s="72"/>
    </row>
    <row r="282" ht="15.75" customHeight="1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3"/>
      <c r="T282" s="72"/>
      <c r="U282" s="72"/>
      <c r="V282" s="72"/>
      <c r="W282" s="72"/>
      <c r="X282" s="72"/>
      <c r="Y282" s="72"/>
      <c r="Z282" s="72"/>
    </row>
    <row r="283" ht="15.75" customHeight="1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3"/>
      <c r="T283" s="72"/>
      <c r="U283" s="72"/>
      <c r="V283" s="72"/>
      <c r="W283" s="72"/>
      <c r="X283" s="72"/>
      <c r="Y283" s="72"/>
      <c r="Z283" s="72"/>
    </row>
    <row r="284" ht="15.75" customHeight="1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3"/>
      <c r="T284" s="72"/>
      <c r="U284" s="72"/>
      <c r="V284" s="72"/>
      <c r="W284" s="72"/>
      <c r="X284" s="72"/>
      <c r="Y284" s="72"/>
      <c r="Z284" s="72"/>
    </row>
    <row r="285" ht="15.75" customHeight="1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3"/>
      <c r="T285" s="72"/>
      <c r="U285" s="72"/>
      <c r="V285" s="72"/>
      <c r="W285" s="72"/>
      <c r="X285" s="72"/>
      <c r="Y285" s="72"/>
      <c r="Z285" s="72"/>
    </row>
    <row r="286" ht="15.75" customHeight="1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3"/>
      <c r="T286" s="72"/>
      <c r="U286" s="72"/>
      <c r="V286" s="72"/>
      <c r="W286" s="72"/>
      <c r="X286" s="72"/>
      <c r="Y286" s="72"/>
      <c r="Z286" s="72"/>
    </row>
    <row r="287" ht="15.75" customHeight="1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3"/>
      <c r="T287" s="72"/>
      <c r="U287" s="72"/>
      <c r="V287" s="72"/>
      <c r="W287" s="72"/>
      <c r="X287" s="72"/>
      <c r="Y287" s="72"/>
      <c r="Z287" s="72"/>
    </row>
    <row r="288" ht="15.75" customHeight="1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3"/>
      <c r="T288" s="72"/>
      <c r="U288" s="72"/>
      <c r="V288" s="72"/>
      <c r="W288" s="72"/>
      <c r="X288" s="72"/>
      <c r="Y288" s="72"/>
      <c r="Z288" s="72"/>
    </row>
    <row r="289" ht="15.75" customHeight="1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3"/>
      <c r="T289" s="72"/>
      <c r="U289" s="72"/>
      <c r="V289" s="72"/>
      <c r="W289" s="72"/>
      <c r="X289" s="72"/>
      <c r="Y289" s="72"/>
      <c r="Z289" s="72"/>
    </row>
    <row r="290" ht="15.75" customHeight="1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3"/>
      <c r="T290" s="72"/>
      <c r="U290" s="72"/>
      <c r="V290" s="72"/>
      <c r="W290" s="72"/>
      <c r="X290" s="72"/>
      <c r="Y290" s="72"/>
      <c r="Z290" s="72"/>
    </row>
    <row r="291" ht="15.75" customHeight="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3"/>
      <c r="T291" s="72"/>
      <c r="U291" s="72"/>
      <c r="V291" s="72"/>
      <c r="W291" s="72"/>
      <c r="X291" s="72"/>
      <c r="Y291" s="72"/>
      <c r="Z291" s="72"/>
    </row>
    <row r="292" ht="15.75" customHeight="1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3"/>
      <c r="T292" s="72"/>
      <c r="U292" s="72"/>
      <c r="V292" s="72"/>
      <c r="W292" s="72"/>
      <c r="X292" s="72"/>
      <c r="Y292" s="72"/>
      <c r="Z292" s="72"/>
    </row>
    <row r="293" ht="15.75" customHeight="1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3"/>
      <c r="T293" s="72"/>
      <c r="U293" s="72"/>
      <c r="V293" s="72"/>
      <c r="W293" s="72"/>
      <c r="X293" s="72"/>
      <c r="Y293" s="72"/>
      <c r="Z293" s="72"/>
    </row>
    <row r="294" ht="15.75" customHeight="1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3"/>
      <c r="T294" s="72"/>
      <c r="U294" s="72"/>
      <c r="V294" s="72"/>
      <c r="W294" s="72"/>
      <c r="X294" s="72"/>
      <c r="Y294" s="72"/>
      <c r="Z294" s="72"/>
    </row>
    <row r="295" ht="15.75" customHeight="1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3"/>
      <c r="T295" s="72"/>
      <c r="U295" s="72"/>
      <c r="V295" s="72"/>
      <c r="W295" s="72"/>
      <c r="X295" s="72"/>
      <c r="Y295" s="72"/>
      <c r="Z295" s="72"/>
    </row>
    <row r="296" ht="15.75" customHeight="1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3"/>
      <c r="T296" s="72"/>
      <c r="U296" s="72"/>
      <c r="V296" s="72"/>
      <c r="W296" s="72"/>
      <c r="X296" s="72"/>
      <c r="Y296" s="72"/>
      <c r="Z296" s="72"/>
    </row>
    <row r="297" ht="15.75" customHeight="1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3"/>
      <c r="T297" s="72"/>
      <c r="U297" s="72"/>
      <c r="V297" s="72"/>
      <c r="W297" s="72"/>
      <c r="X297" s="72"/>
      <c r="Y297" s="72"/>
      <c r="Z297" s="72"/>
    </row>
    <row r="298" ht="15.75" customHeight="1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3"/>
      <c r="T298" s="72"/>
      <c r="U298" s="72"/>
      <c r="V298" s="72"/>
      <c r="W298" s="72"/>
      <c r="X298" s="72"/>
      <c r="Y298" s="72"/>
      <c r="Z298" s="72"/>
    </row>
    <row r="299" ht="15.75" customHeight="1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3"/>
      <c r="T299" s="72"/>
      <c r="U299" s="72"/>
      <c r="V299" s="72"/>
      <c r="W299" s="72"/>
      <c r="X299" s="72"/>
      <c r="Y299" s="72"/>
      <c r="Z299" s="72"/>
    </row>
    <row r="300" ht="15.75" customHeight="1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3"/>
      <c r="T300" s="72"/>
      <c r="U300" s="72"/>
      <c r="V300" s="72"/>
      <c r="W300" s="72"/>
      <c r="X300" s="72"/>
      <c r="Y300" s="72"/>
      <c r="Z300" s="72"/>
    </row>
    <row r="301" ht="15.75" customHeight="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3"/>
      <c r="T301" s="72"/>
      <c r="U301" s="72"/>
      <c r="V301" s="72"/>
      <c r="W301" s="72"/>
      <c r="X301" s="72"/>
      <c r="Y301" s="72"/>
      <c r="Z301" s="72"/>
    </row>
    <row r="302" ht="15.75" customHeight="1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3"/>
      <c r="T302" s="72"/>
      <c r="U302" s="72"/>
      <c r="V302" s="72"/>
      <c r="W302" s="72"/>
      <c r="X302" s="72"/>
      <c r="Y302" s="72"/>
      <c r="Z302" s="72"/>
    </row>
    <row r="303" ht="15.75" customHeight="1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3"/>
      <c r="T303" s="72"/>
      <c r="U303" s="72"/>
      <c r="V303" s="72"/>
      <c r="W303" s="72"/>
      <c r="X303" s="72"/>
      <c r="Y303" s="72"/>
      <c r="Z303" s="72"/>
    </row>
    <row r="304" ht="15.75" customHeight="1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3"/>
      <c r="T304" s="72"/>
      <c r="U304" s="72"/>
      <c r="V304" s="72"/>
      <c r="W304" s="72"/>
      <c r="X304" s="72"/>
      <c r="Y304" s="72"/>
      <c r="Z304" s="72"/>
    </row>
    <row r="305" ht="15.75" customHeight="1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3"/>
      <c r="T305" s="72"/>
      <c r="U305" s="72"/>
      <c r="V305" s="72"/>
      <c r="W305" s="72"/>
      <c r="X305" s="72"/>
      <c r="Y305" s="72"/>
      <c r="Z305" s="72"/>
    </row>
    <row r="306" ht="15.75" customHeight="1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3"/>
      <c r="T306" s="72"/>
      <c r="U306" s="72"/>
      <c r="V306" s="72"/>
      <c r="W306" s="72"/>
      <c r="X306" s="72"/>
      <c r="Y306" s="72"/>
      <c r="Z306" s="72"/>
    </row>
    <row r="307" ht="15.75" customHeight="1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3"/>
      <c r="T307" s="72"/>
      <c r="U307" s="72"/>
      <c r="V307" s="72"/>
      <c r="W307" s="72"/>
      <c r="X307" s="72"/>
      <c r="Y307" s="72"/>
      <c r="Z307" s="72"/>
    </row>
    <row r="308" ht="15.75" customHeight="1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3"/>
      <c r="T308" s="72"/>
      <c r="U308" s="72"/>
      <c r="V308" s="72"/>
      <c r="W308" s="72"/>
      <c r="X308" s="72"/>
      <c r="Y308" s="72"/>
      <c r="Z308" s="72"/>
    </row>
    <row r="309" ht="15.75" customHeight="1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3"/>
      <c r="T309" s="72"/>
      <c r="U309" s="72"/>
      <c r="V309" s="72"/>
      <c r="W309" s="72"/>
      <c r="X309" s="72"/>
      <c r="Y309" s="72"/>
      <c r="Z309" s="72"/>
    </row>
    <row r="310" ht="15.75" customHeight="1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3"/>
      <c r="T310" s="72"/>
      <c r="U310" s="72"/>
      <c r="V310" s="72"/>
      <c r="W310" s="72"/>
      <c r="X310" s="72"/>
      <c r="Y310" s="72"/>
      <c r="Z310" s="72"/>
    </row>
    <row r="311" ht="15.75" customHeight="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3"/>
      <c r="T311" s="72"/>
      <c r="U311" s="72"/>
      <c r="V311" s="72"/>
      <c r="W311" s="72"/>
      <c r="X311" s="72"/>
      <c r="Y311" s="72"/>
      <c r="Z311" s="72"/>
    </row>
    <row r="312" ht="15.75" customHeight="1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3"/>
      <c r="T312" s="72"/>
      <c r="U312" s="72"/>
      <c r="V312" s="72"/>
      <c r="W312" s="72"/>
      <c r="X312" s="72"/>
      <c r="Y312" s="72"/>
      <c r="Z312" s="72"/>
    </row>
    <row r="313" ht="15.75" customHeight="1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3"/>
      <c r="T313" s="72"/>
      <c r="U313" s="72"/>
      <c r="V313" s="72"/>
      <c r="W313" s="72"/>
      <c r="X313" s="72"/>
      <c r="Y313" s="72"/>
      <c r="Z313" s="72"/>
    </row>
    <row r="314" ht="15.75" customHeight="1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3"/>
      <c r="T314" s="72"/>
      <c r="U314" s="72"/>
      <c r="V314" s="72"/>
      <c r="W314" s="72"/>
      <c r="X314" s="72"/>
      <c r="Y314" s="72"/>
      <c r="Z314" s="72"/>
    </row>
    <row r="315" ht="15.75" customHeight="1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3"/>
      <c r="T315" s="72"/>
      <c r="U315" s="72"/>
      <c r="V315" s="72"/>
      <c r="W315" s="72"/>
      <c r="X315" s="72"/>
      <c r="Y315" s="72"/>
      <c r="Z315" s="72"/>
    </row>
    <row r="316" ht="15.75" customHeight="1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3"/>
      <c r="T316" s="72"/>
      <c r="U316" s="72"/>
      <c r="V316" s="72"/>
      <c r="W316" s="72"/>
      <c r="X316" s="72"/>
      <c r="Y316" s="72"/>
      <c r="Z316" s="72"/>
    </row>
    <row r="317" ht="15.75" customHeight="1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3"/>
      <c r="T317" s="72"/>
      <c r="U317" s="72"/>
      <c r="V317" s="72"/>
      <c r="W317" s="72"/>
      <c r="X317" s="72"/>
      <c r="Y317" s="72"/>
      <c r="Z317" s="72"/>
    </row>
    <row r="318" ht="15.75" customHeight="1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3"/>
      <c r="T318" s="72"/>
      <c r="U318" s="72"/>
      <c r="V318" s="72"/>
      <c r="W318" s="72"/>
      <c r="X318" s="72"/>
      <c r="Y318" s="72"/>
      <c r="Z318" s="72"/>
    </row>
    <row r="319" ht="15.75" customHeight="1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3"/>
      <c r="T319" s="72"/>
      <c r="U319" s="72"/>
      <c r="V319" s="72"/>
      <c r="W319" s="72"/>
      <c r="X319" s="72"/>
      <c r="Y319" s="72"/>
      <c r="Z319" s="72"/>
    </row>
    <row r="320" ht="15.75" customHeight="1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3"/>
      <c r="T320" s="72"/>
      <c r="U320" s="72"/>
      <c r="V320" s="72"/>
      <c r="W320" s="72"/>
      <c r="X320" s="72"/>
      <c r="Y320" s="72"/>
      <c r="Z320" s="72"/>
    </row>
    <row r="321" ht="15.75" customHeight="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3"/>
      <c r="T321" s="72"/>
      <c r="U321" s="72"/>
      <c r="V321" s="72"/>
      <c r="W321" s="72"/>
      <c r="X321" s="72"/>
      <c r="Y321" s="72"/>
      <c r="Z321" s="72"/>
    </row>
    <row r="322" ht="15.75" customHeight="1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3"/>
      <c r="T322" s="72"/>
      <c r="U322" s="72"/>
      <c r="V322" s="72"/>
      <c r="W322" s="72"/>
      <c r="X322" s="72"/>
      <c r="Y322" s="72"/>
      <c r="Z322" s="72"/>
    </row>
    <row r="323" ht="15.75" customHeight="1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3"/>
      <c r="T323" s="72"/>
      <c r="U323" s="72"/>
      <c r="V323" s="72"/>
      <c r="W323" s="72"/>
      <c r="X323" s="72"/>
      <c r="Y323" s="72"/>
      <c r="Z323" s="72"/>
    </row>
    <row r="324" ht="15.75" customHeight="1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3"/>
      <c r="T324" s="72"/>
      <c r="U324" s="72"/>
      <c r="V324" s="72"/>
      <c r="W324" s="72"/>
      <c r="X324" s="72"/>
      <c r="Y324" s="72"/>
      <c r="Z324" s="72"/>
    </row>
    <row r="325" ht="15.75" customHeight="1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3"/>
      <c r="T325" s="72"/>
      <c r="U325" s="72"/>
      <c r="V325" s="72"/>
      <c r="W325" s="72"/>
      <c r="X325" s="72"/>
      <c r="Y325" s="72"/>
      <c r="Z325" s="72"/>
    </row>
    <row r="326" ht="15.75" customHeight="1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3"/>
      <c r="T326" s="72"/>
      <c r="U326" s="72"/>
      <c r="V326" s="72"/>
      <c r="W326" s="72"/>
      <c r="X326" s="72"/>
      <c r="Y326" s="72"/>
      <c r="Z326" s="72"/>
    </row>
    <row r="327" ht="15.75" customHeight="1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3"/>
      <c r="T327" s="72"/>
      <c r="U327" s="72"/>
      <c r="V327" s="72"/>
      <c r="W327" s="72"/>
      <c r="X327" s="72"/>
      <c r="Y327" s="72"/>
      <c r="Z327" s="72"/>
    </row>
    <row r="328" ht="15.75" customHeight="1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3"/>
      <c r="T328" s="72"/>
      <c r="U328" s="72"/>
      <c r="V328" s="72"/>
      <c r="W328" s="72"/>
      <c r="X328" s="72"/>
      <c r="Y328" s="72"/>
      <c r="Z328" s="72"/>
    </row>
    <row r="329" ht="15.75" customHeight="1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3"/>
      <c r="T329" s="72"/>
      <c r="U329" s="72"/>
      <c r="V329" s="72"/>
      <c r="W329" s="72"/>
      <c r="X329" s="72"/>
      <c r="Y329" s="72"/>
      <c r="Z329" s="72"/>
    </row>
    <row r="330" ht="15.75" customHeight="1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3"/>
      <c r="T330" s="72"/>
      <c r="U330" s="72"/>
      <c r="V330" s="72"/>
      <c r="W330" s="72"/>
      <c r="X330" s="72"/>
      <c r="Y330" s="72"/>
      <c r="Z330" s="72"/>
    </row>
    <row r="331" ht="15.75" customHeight="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3"/>
      <c r="T331" s="72"/>
      <c r="U331" s="72"/>
      <c r="V331" s="72"/>
      <c r="W331" s="72"/>
      <c r="X331" s="72"/>
      <c r="Y331" s="72"/>
      <c r="Z331" s="72"/>
    </row>
    <row r="332" ht="15.75" customHeight="1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3"/>
      <c r="T332" s="72"/>
      <c r="U332" s="72"/>
      <c r="V332" s="72"/>
      <c r="W332" s="72"/>
      <c r="X332" s="72"/>
      <c r="Y332" s="72"/>
      <c r="Z332" s="72"/>
    </row>
    <row r="333" ht="15.75" customHeight="1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3"/>
      <c r="T333" s="72"/>
      <c r="U333" s="72"/>
      <c r="V333" s="72"/>
      <c r="W333" s="72"/>
      <c r="X333" s="72"/>
      <c r="Y333" s="72"/>
      <c r="Z333" s="72"/>
    </row>
    <row r="334" ht="15.75" customHeight="1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3"/>
      <c r="T334" s="72"/>
      <c r="U334" s="72"/>
      <c r="V334" s="72"/>
      <c r="W334" s="72"/>
      <c r="X334" s="72"/>
      <c r="Y334" s="72"/>
      <c r="Z334" s="72"/>
    </row>
    <row r="335" ht="15.75" customHeight="1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3"/>
      <c r="T335" s="72"/>
      <c r="U335" s="72"/>
      <c r="V335" s="72"/>
      <c r="W335" s="72"/>
      <c r="X335" s="72"/>
      <c r="Y335" s="72"/>
      <c r="Z335" s="72"/>
    </row>
    <row r="336" ht="15.75" customHeight="1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3"/>
      <c r="T336" s="72"/>
      <c r="U336" s="72"/>
      <c r="V336" s="72"/>
      <c r="W336" s="72"/>
      <c r="X336" s="72"/>
      <c r="Y336" s="72"/>
      <c r="Z336" s="72"/>
    </row>
    <row r="337" ht="15.75" customHeight="1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3"/>
      <c r="T337" s="72"/>
      <c r="U337" s="72"/>
      <c r="V337" s="72"/>
      <c r="W337" s="72"/>
      <c r="X337" s="72"/>
      <c r="Y337" s="72"/>
      <c r="Z337" s="72"/>
    </row>
    <row r="338" ht="15.75" customHeight="1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3"/>
      <c r="T338" s="72"/>
      <c r="U338" s="72"/>
      <c r="V338" s="72"/>
      <c r="W338" s="72"/>
      <c r="X338" s="72"/>
      <c r="Y338" s="72"/>
      <c r="Z338" s="72"/>
    </row>
    <row r="339" ht="15.75" customHeight="1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3"/>
      <c r="T339" s="72"/>
      <c r="U339" s="72"/>
      <c r="V339" s="72"/>
      <c r="W339" s="72"/>
      <c r="X339" s="72"/>
      <c r="Y339" s="72"/>
      <c r="Z339" s="72"/>
    </row>
    <row r="340" ht="15.75" customHeight="1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3"/>
      <c r="T340" s="72"/>
      <c r="U340" s="72"/>
      <c r="V340" s="72"/>
      <c r="W340" s="72"/>
      <c r="X340" s="72"/>
      <c r="Y340" s="72"/>
      <c r="Z340" s="72"/>
    </row>
    <row r="341" ht="15.75" customHeight="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3"/>
      <c r="T341" s="72"/>
      <c r="U341" s="72"/>
      <c r="V341" s="72"/>
      <c r="W341" s="72"/>
      <c r="X341" s="72"/>
      <c r="Y341" s="72"/>
      <c r="Z341" s="72"/>
    </row>
    <row r="342" ht="15.75" customHeight="1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3"/>
      <c r="T342" s="72"/>
      <c r="U342" s="72"/>
      <c r="V342" s="72"/>
      <c r="W342" s="72"/>
      <c r="X342" s="72"/>
      <c r="Y342" s="72"/>
      <c r="Z342" s="72"/>
    </row>
    <row r="343" ht="15.75" customHeight="1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3"/>
      <c r="T343" s="72"/>
      <c r="U343" s="72"/>
      <c r="V343" s="72"/>
      <c r="W343" s="72"/>
      <c r="X343" s="72"/>
      <c r="Y343" s="72"/>
      <c r="Z343" s="72"/>
    </row>
    <row r="344" ht="15.75" customHeight="1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3"/>
      <c r="T344" s="72"/>
      <c r="U344" s="72"/>
      <c r="V344" s="72"/>
      <c r="W344" s="72"/>
      <c r="X344" s="72"/>
      <c r="Y344" s="72"/>
      <c r="Z344" s="72"/>
    </row>
    <row r="345" ht="15.75" customHeight="1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3"/>
      <c r="T345" s="72"/>
      <c r="U345" s="72"/>
      <c r="V345" s="72"/>
      <c r="W345" s="72"/>
      <c r="X345" s="72"/>
      <c r="Y345" s="72"/>
      <c r="Z345" s="72"/>
    </row>
    <row r="346" ht="15.75" customHeight="1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3"/>
      <c r="T346" s="72"/>
      <c r="U346" s="72"/>
      <c r="V346" s="72"/>
      <c r="W346" s="72"/>
      <c r="X346" s="72"/>
      <c r="Y346" s="72"/>
      <c r="Z346" s="72"/>
    </row>
    <row r="347" ht="15.75" customHeight="1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3"/>
      <c r="T347" s="72"/>
      <c r="U347" s="72"/>
      <c r="V347" s="72"/>
      <c r="W347" s="72"/>
      <c r="X347" s="72"/>
      <c r="Y347" s="72"/>
      <c r="Z347" s="72"/>
    </row>
    <row r="348" ht="15.75" customHeight="1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3"/>
      <c r="T348" s="72"/>
      <c r="U348" s="72"/>
      <c r="V348" s="72"/>
      <c r="W348" s="72"/>
      <c r="X348" s="72"/>
      <c r="Y348" s="72"/>
      <c r="Z348" s="72"/>
    </row>
    <row r="349" ht="15.75" customHeight="1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3"/>
      <c r="T349" s="72"/>
      <c r="U349" s="72"/>
      <c r="V349" s="72"/>
      <c r="W349" s="72"/>
      <c r="X349" s="72"/>
      <c r="Y349" s="72"/>
      <c r="Z349" s="72"/>
    </row>
    <row r="350" ht="15.75" customHeight="1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3"/>
      <c r="T350" s="72"/>
      <c r="U350" s="72"/>
      <c r="V350" s="72"/>
      <c r="W350" s="72"/>
      <c r="X350" s="72"/>
      <c r="Y350" s="72"/>
      <c r="Z350" s="72"/>
    </row>
    <row r="351" ht="15.75" customHeight="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3"/>
      <c r="T351" s="72"/>
      <c r="U351" s="72"/>
      <c r="V351" s="72"/>
      <c r="W351" s="72"/>
      <c r="X351" s="72"/>
      <c r="Y351" s="72"/>
      <c r="Z351" s="72"/>
    </row>
    <row r="352" ht="15.75" customHeight="1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3"/>
      <c r="T352" s="72"/>
      <c r="U352" s="72"/>
      <c r="V352" s="72"/>
      <c r="W352" s="72"/>
      <c r="X352" s="72"/>
      <c r="Y352" s="72"/>
      <c r="Z352" s="72"/>
    </row>
    <row r="353" ht="15.75" customHeight="1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3"/>
      <c r="T353" s="72"/>
      <c r="U353" s="72"/>
      <c r="V353" s="72"/>
      <c r="W353" s="72"/>
      <c r="X353" s="72"/>
      <c r="Y353" s="72"/>
      <c r="Z353" s="72"/>
    </row>
    <row r="354" ht="15.75" customHeight="1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3"/>
      <c r="T354" s="72"/>
      <c r="U354" s="72"/>
      <c r="V354" s="72"/>
      <c r="W354" s="72"/>
      <c r="X354" s="72"/>
      <c r="Y354" s="72"/>
      <c r="Z354" s="72"/>
    </row>
    <row r="355" ht="15.75" customHeight="1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3"/>
      <c r="T355" s="72"/>
      <c r="U355" s="72"/>
      <c r="V355" s="72"/>
      <c r="W355" s="72"/>
      <c r="X355" s="72"/>
      <c r="Y355" s="72"/>
      <c r="Z355" s="72"/>
    </row>
    <row r="356" ht="15.75" customHeight="1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3"/>
      <c r="T356" s="72"/>
      <c r="U356" s="72"/>
      <c r="V356" s="72"/>
      <c r="W356" s="72"/>
      <c r="X356" s="72"/>
      <c r="Y356" s="72"/>
      <c r="Z356" s="72"/>
    </row>
    <row r="357" ht="15.75" customHeight="1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3"/>
      <c r="T357" s="72"/>
      <c r="U357" s="72"/>
      <c r="V357" s="72"/>
      <c r="W357" s="72"/>
      <c r="X357" s="72"/>
      <c r="Y357" s="72"/>
      <c r="Z357" s="72"/>
    </row>
    <row r="358" ht="15.75" customHeight="1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3"/>
      <c r="T358" s="72"/>
      <c r="U358" s="72"/>
      <c r="V358" s="72"/>
      <c r="W358" s="72"/>
      <c r="X358" s="72"/>
      <c r="Y358" s="72"/>
      <c r="Z358" s="72"/>
    </row>
    <row r="359" ht="15.75" customHeight="1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3"/>
      <c r="T359" s="72"/>
      <c r="U359" s="72"/>
      <c r="V359" s="72"/>
      <c r="W359" s="72"/>
      <c r="X359" s="72"/>
      <c r="Y359" s="72"/>
      <c r="Z359" s="72"/>
    </row>
    <row r="360" ht="15.75" customHeight="1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3"/>
      <c r="T360" s="72"/>
      <c r="U360" s="72"/>
      <c r="V360" s="72"/>
      <c r="W360" s="72"/>
      <c r="X360" s="72"/>
      <c r="Y360" s="72"/>
      <c r="Z360" s="72"/>
    </row>
    <row r="361" ht="15.75" customHeight="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3"/>
      <c r="T361" s="72"/>
      <c r="U361" s="72"/>
      <c r="V361" s="72"/>
      <c r="W361" s="72"/>
      <c r="X361" s="72"/>
      <c r="Y361" s="72"/>
      <c r="Z361" s="72"/>
    </row>
    <row r="362" ht="15.75" customHeight="1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3"/>
      <c r="T362" s="72"/>
      <c r="U362" s="72"/>
      <c r="V362" s="72"/>
      <c r="W362" s="72"/>
      <c r="X362" s="72"/>
      <c r="Y362" s="72"/>
      <c r="Z362" s="72"/>
    </row>
    <row r="363" ht="15.75" customHeight="1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3"/>
      <c r="T363" s="72"/>
      <c r="U363" s="72"/>
      <c r="V363" s="72"/>
      <c r="W363" s="72"/>
      <c r="X363" s="72"/>
      <c r="Y363" s="72"/>
      <c r="Z363" s="72"/>
    </row>
    <row r="364" ht="15.75" customHeight="1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3"/>
      <c r="T364" s="72"/>
      <c r="U364" s="72"/>
      <c r="V364" s="72"/>
      <c r="W364" s="72"/>
      <c r="X364" s="72"/>
      <c r="Y364" s="72"/>
      <c r="Z364" s="72"/>
    </row>
    <row r="365" ht="15.75" customHeight="1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3"/>
      <c r="T365" s="72"/>
      <c r="U365" s="72"/>
      <c r="V365" s="72"/>
      <c r="W365" s="72"/>
      <c r="X365" s="72"/>
      <c r="Y365" s="72"/>
      <c r="Z365" s="72"/>
    </row>
    <row r="366" ht="15.75" customHeight="1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3"/>
      <c r="T366" s="72"/>
      <c r="U366" s="72"/>
      <c r="V366" s="72"/>
      <c r="W366" s="72"/>
      <c r="X366" s="72"/>
      <c r="Y366" s="72"/>
      <c r="Z366" s="72"/>
    </row>
    <row r="367" ht="15.75" customHeight="1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3"/>
      <c r="T367" s="72"/>
      <c r="U367" s="72"/>
      <c r="V367" s="72"/>
      <c r="W367" s="72"/>
      <c r="X367" s="72"/>
      <c r="Y367" s="72"/>
      <c r="Z367" s="72"/>
    </row>
    <row r="368" ht="15.75" customHeight="1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3"/>
      <c r="T368" s="72"/>
      <c r="U368" s="72"/>
      <c r="V368" s="72"/>
      <c r="W368" s="72"/>
      <c r="X368" s="72"/>
      <c r="Y368" s="72"/>
      <c r="Z368" s="72"/>
    </row>
    <row r="369" ht="15.75" customHeight="1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3"/>
      <c r="T369" s="72"/>
      <c r="U369" s="72"/>
      <c r="V369" s="72"/>
      <c r="W369" s="72"/>
      <c r="X369" s="72"/>
      <c r="Y369" s="72"/>
      <c r="Z369" s="72"/>
    </row>
    <row r="370" ht="15.75" customHeight="1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3"/>
      <c r="T370" s="72"/>
      <c r="U370" s="72"/>
      <c r="V370" s="72"/>
      <c r="W370" s="72"/>
      <c r="X370" s="72"/>
      <c r="Y370" s="72"/>
      <c r="Z370" s="72"/>
    </row>
    <row r="371" ht="15.75" customHeight="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3"/>
      <c r="T371" s="72"/>
      <c r="U371" s="72"/>
      <c r="V371" s="72"/>
      <c r="W371" s="72"/>
      <c r="X371" s="72"/>
      <c r="Y371" s="72"/>
      <c r="Z371" s="72"/>
    </row>
    <row r="372" ht="15.75" customHeight="1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3"/>
      <c r="T372" s="72"/>
      <c r="U372" s="72"/>
      <c r="V372" s="72"/>
      <c r="W372" s="72"/>
      <c r="X372" s="72"/>
      <c r="Y372" s="72"/>
      <c r="Z372" s="72"/>
    </row>
    <row r="373" ht="15.75" customHeight="1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3"/>
      <c r="T373" s="72"/>
      <c r="U373" s="72"/>
      <c r="V373" s="72"/>
      <c r="W373" s="72"/>
      <c r="X373" s="72"/>
      <c r="Y373" s="72"/>
      <c r="Z373" s="72"/>
    </row>
    <row r="374" ht="15.75" customHeight="1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3"/>
      <c r="T374" s="72"/>
      <c r="U374" s="72"/>
      <c r="V374" s="72"/>
      <c r="W374" s="72"/>
      <c r="X374" s="72"/>
      <c r="Y374" s="72"/>
      <c r="Z374" s="72"/>
    </row>
    <row r="375" ht="15.75" customHeight="1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3"/>
      <c r="T375" s="72"/>
      <c r="U375" s="72"/>
      <c r="V375" s="72"/>
      <c r="W375" s="72"/>
      <c r="X375" s="72"/>
      <c r="Y375" s="72"/>
      <c r="Z375" s="72"/>
    </row>
    <row r="376" ht="15.75" customHeight="1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3"/>
      <c r="T376" s="72"/>
      <c r="U376" s="72"/>
      <c r="V376" s="72"/>
      <c r="W376" s="72"/>
      <c r="X376" s="72"/>
      <c r="Y376" s="72"/>
      <c r="Z376" s="72"/>
    </row>
    <row r="377" ht="15.75" customHeight="1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3"/>
      <c r="T377" s="72"/>
      <c r="U377" s="72"/>
      <c r="V377" s="72"/>
      <c r="W377" s="72"/>
      <c r="X377" s="72"/>
      <c r="Y377" s="72"/>
      <c r="Z377" s="72"/>
    </row>
    <row r="378" ht="15.75" customHeight="1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3"/>
      <c r="T378" s="72"/>
      <c r="U378" s="72"/>
      <c r="V378" s="72"/>
      <c r="W378" s="72"/>
      <c r="X378" s="72"/>
      <c r="Y378" s="72"/>
      <c r="Z378" s="72"/>
    </row>
    <row r="379" ht="15.75" customHeight="1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3"/>
      <c r="T379" s="72"/>
      <c r="U379" s="72"/>
      <c r="V379" s="72"/>
      <c r="W379" s="72"/>
      <c r="X379" s="72"/>
      <c r="Y379" s="72"/>
      <c r="Z379" s="72"/>
    </row>
    <row r="380" ht="15.75" customHeight="1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3"/>
      <c r="T380" s="72"/>
      <c r="U380" s="72"/>
      <c r="V380" s="72"/>
      <c r="W380" s="72"/>
      <c r="X380" s="72"/>
      <c r="Y380" s="72"/>
      <c r="Z380" s="72"/>
    </row>
    <row r="381" ht="15.75" customHeight="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3"/>
      <c r="T381" s="72"/>
      <c r="U381" s="72"/>
      <c r="V381" s="72"/>
      <c r="W381" s="72"/>
      <c r="X381" s="72"/>
      <c r="Y381" s="72"/>
      <c r="Z381" s="72"/>
    </row>
    <row r="382" ht="15.75" customHeight="1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3"/>
      <c r="T382" s="72"/>
      <c r="U382" s="72"/>
      <c r="V382" s="72"/>
      <c r="W382" s="72"/>
      <c r="X382" s="72"/>
      <c r="Y382" s="72"/>
      <c r="Z382" s="72"/>
    </row>
    <row r="383" ht="15.75" customHeight="1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3"/>
      <c r="T383" s="72"/>
      <c r="U383" s="72"/>
      <c r="V383" s="72"/>
      <c r="W383" s="72"/>
      <c r="X383" s="72"/>
      <c r="Y383" s="72"/>
      <c r="Z383" s="72"/>
    </row>
    <row r="384" ht="15.75" customHeight="1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3"/>
      <c r="T384" s="72"/>
      <c r="U384" s="72"/>
      <c r="V384" s="72"/>
      <c r="W384" s="72"/>
      <c r="X384" s="72"/>
      <c r="Y384" s="72"/>
      <c r="Z384" s="72"/>
    </row>
    <row r="385" ht="15.75" customHeight="1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3"/>
      <c r="T385" s="72"/>
      <c r="U385" s="72"/>
      <c r="V385" s="72"/>
      <c r="W385" s="72"/>
      <c r="X385" s="72"/>
      <c r="Y385" s="72"/>
      <c r="Z385" s="72"/>
    </row>
    <row r="386" ht="15.75" customHeight="1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3"/>
      <c r="T386" s="72"/>
      <c r="U386" s="72"/>
      <c r="V386" s="72"/>
      <c r="W386" s="72"/>
      <c r="X386" s="72"/>
      <c r="Y386" s="72"/>
      <c r="Z386" s="72"/>
    </row>
    <row r="387" ht="15.75" customHeight="1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3"/>
      <c r="T387" s="72"/>
      <c r="U387" s="72"/>
      <c r="V387" s="72"/>
      <c r="W387" s="72"/>
      <c r="X387" s="72"/>
      <c r="Y387" s="72"/>
      <c r="Z387" s="72"/>
    </row>
    <row r="388" ht="15.75" customHeight="1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3"/>
      <c r="T388" s="72"/>
      <c r="U388" s="72"/>
      <c r="V388" s="72"/>
      <c r="W388" s="72"/>
      <c r="X388" s="72"/>
      <c r="Y388" s="72"/>
      <c r="Z388" s="72"/>
    </row>
    <row r="389" ht="15.75" customHeight="1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3"/>
      <c r="T389" s="72"/>
      <c r="U389" s="72"/>
      <c r="V389" s="72"/>
      <c r="W389" s="72"/>
      <c r="X389" s="72"/>
      <c r="Y389" s="72"/>
      <c r="Z389" s="72"/>
    </row>
    <row r="390" ht="15.75" customHeight="1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3"/>
      <c r="T390" s="72"/>
      <c r="U390" s="72"/>
      <c r="V390" s="72"/>
      <c r="W390" s="72"/>
      <c r="X390" s="72"/>
      <c r="Y390" s="72"/>
      <c r="Z390" s="72"/>
    </row>
    <row r="391" ht="15.75" customHeight="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3"/>
      <c r="T391" s="72"/>
      <c r="U391" s="72"/>
      <c r="V391" s="72"/>
      <c r="W391" s="72"/>
      <c r="X391" s="72"/>
      <c r="Y391" s="72"/>
      <c r="Z391" s="72"/>
    </row>
    <row r="392" ht="15.75" customHeight="1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3"/>
      <c r="T392" s="72"/>
      <c r="U392" s="72"/>
      <c r="V392" s="72"/>
      <c r="W392" s="72"/>
      <c r="X392" s="72"/>
      <c r="Y392" s="72"/>
      <c r="Z392" s="72"/>
    </row>
    <row r="393" ht="15.75" customHeight="1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3"/>
      <c r="T393" s="72"/>
      <c r="U393" s="72"/>
      <c r="V393" s="72"/>
      <c r="W393" s="72"/>
      <c r="X393" s="72"/>
      <c r="Y393" s="72"/>
      <c r="Z393" s="72"/>
    </row>
    <row r="394" ht="15.75" customHeight="1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3"/>
      <c r="T394" s="72"/>
      <c r="U394" s="72"/>
      <c r="V394" s="72"/>
      <c r="W394" s="72"/>
      <c r="X394" s="72"/>
      <c r="Y394" s="72"/>
      <c r="Z394" s="72"/>
    </row>
    <row r="395" ht="15.75" customHeight="1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3"/>
      <c r="T395" s="72"/>
      <c r="U395" s="72"/>
      <c r="V395" s="72"/>
      <c r="W395" s="72"/>
      <c r="X395" s="72"/>
      <c r="Y395" s="72"/>
      <c r="Z395" s="72"/>
    </row>
    <row r="396" ht="15.75" customHeight="1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3"/>
      <c r="T396" s="72"/>
      <c r="U396" s="72"/>
      <c r="V396" s="72"/>
      <c r="W396" s="72"/>
      <c r="X396" s="72"/>
      <c r="Y396" s="72"/>
      <c r="Z396" s="72"/>
    </row>
    <row r="397" ht="15.75" customHeight="1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3"/>
      <c r="T397" s="72"/>
      <c r="U397" s="72"/>
      <c r="V397" s="72"/>
      <c r="W397" s="72"/>
      <c r="X397" s="72"/>
      <c r="Y397" s="72"/>
      <c r="Z397" s="72"/>
    </row>
    <row r="398" ht="15.75" customHeight="1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3"/>
      <c r="T398" s="72"/>
      <c r="U398" s="72"/>
      <c r="V398" s="72"/>
      <c r="W398" s="72"/>
      <c r="X398" s="72"/>
      <c r="Y398" s="72"/>
      <c r="Z398" s="72"/>
    </row>
    <row r="399" ht="15.75" customHeight="1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3"/>
      <c r="T399" s="72"/>
      <c r="U399" s="72"/>
      <c r="V399" s="72"/>
      <c r="W399" s="72"/>
      <c r="X399" s="72"/>
      <c r="Y399" s="72"/>
      <c r="Z399" s="72"/>
    </row>
    <row r="400" ht="15.75" customHeight="1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3"/>
      <c r="T400" s="72"/>
      <c r="U400" s="72"/>
      <c r="V400" s="72"/>
      <c r="W400" s="72"/>
      <c r="X400" s="72"/>
      <c r="Y400" s="72"/>
      <c r="Z400" s="72"/>
    </row>
    <row r="401" ht="15.75" customHeight="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3"/>
      <c r="T401" s="72"/>
      <c r="U401" s="72"/>
      <c r="V401" s="72"/>
      <c r="W401" s="72"/>
      <c r="X401" s="72"/>
      <c r="Y401" s="72"/>
      <c r="Z401" s="72"/>
    </row>
    <row r="402" ht="15.75" customHeight="1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3"/>
      <c r="T402" s="72"/>
      <c r="U402" s="72"/>
      <c r="V402" s="72"/>
      <c r="W402" s="72"/>
      <c r="X402" s="72"/>
      <c r="Y402" s="72"/>
      <c r="Z402" s="72"/>
    </row>
    <row r="403" ht="15.75" customHeight="1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3"/>
      <c r="T403" s="72"/>
      <c r="U403" s="72"/>
      <c r="V403" s="72"/>
      <c r="W403" s="72"/>
      <c r="X403" s="72"/>
      <c r="Y403" s="72"/>
      <c r="Z403" s="72"/>
    </row>
    <row r="404" ht="15.75" customHeight="1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3"/>
      <c r="T404" s="72"/>
      <c r="U404" s="72"/>
      <c r="V404" s="72"/>
      <c r="W404" s="72"/>
      <c r="X404" s="72"/>
      <c r="Y404" s="72"/>
      <c r="Z404" s="72"/>
    </row>
    <row r="405" ht="15.75" customHeight="1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3"/>
      <c r="T405" s="72"/>
      <c r="U405" s="72"/>
      <c r="V405" s="72"/>
      <c r="W405" s="72"/>
      <c r="X405" s="72"/>
      <c r="Y405" s="72"/>
      <c r="Z405" s="72"/>
    </row>
    <row r="406" ht="15.75" customHeight="1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3"/>
      <c r="T406" s="72"/>
      <c r="U406" s="72"/>
      <c r="V406" s="72"/>
      <c r="W406" s="72"/>
      <c r="X406" s="72"/>
      <c r="Y406" s="72"/>
      <c r="Z406" s="72"/>
    </row>
    <row r="407" ht="15.75" customHeight="1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3"/>
      <c r="T407" s="72"/>
      <c r="U407" s="72"/>
      <c r="V407" s="72"/>
      <c r="W407" s="72"/>
      <c r="X407" s="72"/>
      <c r="Y407" s="72"/>
      <c r="Z407" s="72"/>
    </row>
    <row r="408" ht="15.75" customHeight="1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3"/>
      <c r="T408" s="72"/>
      <c r="U408" s="72"/>
      <c r="V408" s="72"/>
      <c r="W408" s="72"/>
      <c r="X408" s="72"/>
      <c r="Y408" s="72"/>
      <c r="Z408" s="72"/>
    </row>
    <row r="409" ht="15.75" customHeight="1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3"/>
      <c r="T409" s="72"/>
      <c r="U409" s="72"/>
      <c r="V409" s="72"/>
      <c r="W409" s="72"/>
      <c r="X409" s="72"/>
      <c r="Y409" s="72"/>
      <c r="Z409" s="72"/>
    </row>
    <row r="410" ht="15.75" customHeight="1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3"/>
      <c r="T410" s="72"/>
      <c r="U410" s="72"/>
      <c r="V410" s="72"/>
      <c r="W410" s="72"/>
      <c r="X410" s="72"/>
      <c r="Y410" s="72"/>
      <c r="Z410" s="72"/>
    </row>
    <row r="411" ht="15.75" customHeight="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3"/>
      <c r="T411" s="72"/>
      <c r="U411" s="72"/>
      <c r="V411" s="72"/>
      <c r="W411" s="72"/>
      <c r="X411" s="72"/>
      <c r="Y411" s="72"/>
      <c r="Z411" s="72"/>
    </row>
    <row r="412" ht="15.75" customHeight="1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3"/>
      <c r="T412" s="72"/>
      <c r="U412" s="72"/>
      <c r="V412" s="72"/>
      <c r="W412" s="72"/>
      <c r="X412" s="72"/>
      <c r="Y412" s="72"/>
      <c r="Z412" s="72"/>
    </row>
    <row r="413" ht="15.75" customHeight="1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3"/>
      <c r="T413" s="72"/>
      <c r="U413" s="72"/>
      <c r="V413" s="72"/>
      <c r="W413" s="72"/>
      <c r="X413" s="72"/>
      <c r="Y413" s="72"/>
      <c r="Z413" s="72"/>
    </row>
    <row r="414" ht="15.75" customHeight="1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3"/>
      <c r="T414" s="72"/>
      <c r="U414" s="72"/>
      <c r="V414" s="72"/>
      <c r="W414" s="72"/>
      <c r="X414" s="72"/>
      <c r="Y414" s="72"/>
      <c r="Z414" s="72"/>
    </row>
    <row r="415" ht="15.75" customHeight="1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3"/>
      <c r="T415" s="72"/>
      <c r="U415" s="72"/>
      <c r="V415" s="72"/>
      <c r="W415" s="72"/>
      <c r="X415" s="72"/>
      <c r="Y415" s="72"/>
      <c r="Z415" s="72"/>
    </row>
    <row r="416" ht="15.75" customHeight="1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3"/>
      <c r="T416" s="72"/>
      <c r="U416" s="72"/>
      <c r="V416" s="72"/>
      <c r="W416" s="72"/>
      <c r="X416" s="72"/>
      <c r="Y416" s="72"/>
      <c r="Z416" s="72"/>
    </row>
    <row r="417" ht="15.75" customHeight="1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3"/>
      <c r="T417" s="72"/>
      <c r="U417" s="72"/>
      <c r="V417" s="72"/>
      <c r="W417" s="72"/>
      <c r="X417" s="72"/>
      <c r="Y417" s="72"/>
      <c r="Z417" s="72"/>
    </row>
    <row r="418" ht="15.75" customHeight="1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3"/>
      <c r="T418" s="72"/>
      <c r="U418" s="72"/>
      <c r="V418" s="72"/>
      <c r="W418" s="72"/>
      <c r="X418" s="72"/>
      <c r="Y418" s="72"/>
      <c r="Z418" s="72"/>
    </row>
    <row r="419" ht="15.75" customHeight="1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3"/>
      <c r="T419" s="72"/>
      <c r="U419" s="72"/>
      <c r="V419" s="72"/>
      <c r="W419" s="72"/>
      <c r="X419" s="72"/>
      <c r="Y419" s="72"/>
      <c r="Z419" s="72"/>
    </row>
    <row r="420" ht="15.75" customHeight="1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3"/>
      <c r="T420" s="72"/>
      <c r="U420" s="72"/>
      <c r="V420" s="72"/>
      <c r="W420" s="72"/>
      <c r="X420" s="72"/>
      <c r="Y420" s="72"/>
      <c r="Z420" s="72"/>
    </row>
    <row r="421" ht="15.75" customHeight="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3"/>
      <c r="T421" s="72"/>
      <c r="U421" s="72"/>
      <c r="V421" s="72"/>
      <c r="W421" s="72"/>
      <c r="X421" s="72"/>
      <c r="Y421" s="72"/>
      <c r="Z421" s="72"/>
    </row>
    <row r="422" ht="15.75" customHeight="1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3"/>
      <c r="T422" s="72"/>
      <c r="U422" s="72"/>
      <c r="V422" s="72"/>
      <c r="W422" s="72"/>
      <c r="X422" s="72"/>
      <c r="Y422" s="72"/>
      <c r="Z422" s="72"/>
    </row>
    <row r="423" ht="15.75" customHeight="1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3"/>
      <c r="T423" s="72"/>
      <c r="U423" s="72"/>
      <c r="V423" s="72"/>
      <c r="W423" s="72"/>
      <c r="X423" s="72"/>
      <c r="Y423" s="72"/>
      <c r="Z423" s="72"/>
    </row>
    <row r="424" ht="15.75" customHeight="1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3"/>
      <c r="T424" s="72"/>
      <c r="U424" s="72"/>
      <c r="V424" s="72"/>
      <c r="W424" s="72"/>
      <c r="X424" s="72"/>
      <c r="Y424" s="72"/>
      <c r="Z424" s="72"/>
    </row>
    <row r="425" ht="15.75" customHeight="1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3"/>
      <c r="T425" s="72"/>
      <c r="U425" s="72"/>
      <c r="V425" s="72"/>
      <c r="W425" s="72"/>
      <c r="X425" s="72"/>
      <c r="Y425" s="72"/>
      <c r="Z425" s="72"/>
    </row>
    <row r="426" ht="15.75" customHeight="1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3"/>
      <c r="T426" s="72"/>
      <c r="U426" s="72"/>
      <c r="V426" s="72"/>
      <c r="W426" s="72"/>
      <c r="X426" s="72"/>
      <c r="Y426" s="72"/>
      <c r="Z426" s="72"/>
    </row>
    <row r="427" ht="15.75" customHeight="1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3"/>
      <c r="T427" s="72"/>
      <c r="U427" s="72"/>
      <c r="V427" s="72"/>
      <c r="W427" s="72"/>
      <c r="X427" s="72"/>
      <c r="Y427" s="72"/>
      <c r="Z427" s="72"/>
    </row>
    <row r="428" ht="15.75" customHeight="1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3"/>
      <c r="T428" s="72"/>
      <c r="U428" s="72"/>
      <c r="V428" s="72"/>
      <c r="W428" s="72"/>
      <c r="X428" s="72"/>
      <c r="Y428" s="72"/>
      <c r="Z428" s="72"/>
    </row>
    <row r="429" ht="15.75" customHeight="1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3"/>
      <c r="T429" s="72"/>
      <c r="U429" s="72"/>
      <c r="V429" s="72"/>
      <c r="W429" s="72"/>
      <c r="X429" s="72"/>
      <c r="Y429" s="72"/>
      <c r="Z429" s="72"/>
    </row>
    <row r="430" ht="15.75" customHeight="1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3"/>
      <c r="T430" s="72"/>
      <c r="U430" s="72"/>
      <c r="V430" s="72"/>
      <c r="W430" s="72"/>
      <c r="X430" s="72"/>
      <c r="Y430" s="72"/>
      <c r="Z430" s="72"/>
    </row>
    <row r="431" ht="15.75" customHeight="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3"/>
      <c r="T431" s="72"/>
      <c r="U431" s="72"/>
      <c r="V431" s="72"/>
      <c r="W431" s="72"/>
      <c r="X431" s="72"/>
      <c r="Y431" s="72"/>
      <c r="Z431" s="72"/>
    </row>
    <row r="432" ht="15.75" customHeight="1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3"/>
      <c r="T432" s="72"/>
      <c r="U432" s="72"/>
      <c r="V432" s="72"/>
      <c r="W432" s="72"/>
      <c r="X432" s="72"/>
      <c r="Y432" s="72"/>
      <c r="Z432" s="72"/>
    </row>
    <row r="433" ht="15.75" customHeight="1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3"/>
      <c r="T433" s="72"/>
      <c r="U433" s="72"/>
      <c r="V433" s="72"/>
      <c r="W433" s="72"/>
      <c r="X433" s="72"/>
      <c r="Y433" s="72"/>
      <c r="Z433" s="72"/>
    </row>
    <row r="434" ht="15.75" customHeight="1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3"/>
      <c r="T434" s="72"/>
      <c r="U434" s="72"/>
      <c r="V434" s="72"/>
      <c r="W434" s="72"/>
      <c r="X434" s="72"/>
      <c r="Y434" s="72"/>
      <c r="Z434" s="72"/>
    </row>
    <row r="435" ht="15.75" customHeight="1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3"/>
      <c r="T435" s="72"/>
      <c r="U435" s="72"/>
      <c r="V435" s="72"/>
      <c r="W435" s="72"/>
      <c r="X435" s="72"/>
      <c r="Y435" s="72"/>
      <c r="Z435" s="72"/>
    </row>
    <row r="436" ht="15.75" customHeight="1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3"/>
      <c r="T436" s="72"/>
      <c r="U436" s="72"/>
      <c r="V436" s="72"/>
      <c r="W436" s="72"/>
      <c r="X436" s="72"/>
      <c r="Y436" s="72"/>
      <c r="Z436" s="72"/>
    </row>
    <row r="437" ht="15.75" customHeight="1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3"/>
      <c r="T437" s="72"/>
      <c r="U437" s="72"/>
      <c r="V437" s="72"/>
      <c r="W437" s="72"/>
      <c r="X437" s="72"/>
      <c r="Y437" s="72"/>
      <c r="Z437" s="72"/>
    </row>
    <row r="438" ht="15.75" customHeight="1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3"/>
      <c r="T438" s="72"/>
      <c r="U438" s="72"/>
      <c r="V438" s="72"/>
      <c r="W438" s="72"/>
      <c r="X438" s="72"/>
      <c r="Y438" s="72"/>
      <c r="Z438" s="72"/>
    </row>
    <row r="439" ht="15.75" customHeight="1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3"/>
      <c r="T439" s="72"/>
      <c r="U439" s="72"/>
      <c r="V439" s="72"/>
      <c r="W439" s="72"/>
      <c r="X439" s="72"/>
      <c r="Y439" s="72"/>
      <c r="Z439" s="72"/>
    </row>
    <row r="440" ht="15.75" customHeight="1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3"/>
      <c r="T440" s="72"/>
      <c r="U440" s="72"/>
      <c r="V440" s="72"/>
      <c r="W440" s="72"/>
      <c r="X440" s="72"/>
      <c r="Y440" s="72"/>
      <c r="Z440" s="72"/>
    </row>
    <row r="441" ht="15.75" customHeight="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3"/>
      <c r="T441" s="72"/>
      <c r="U441" s="72"/>
      <c r="V441" s="72"/>
      <c r="W441" s="72"/>
      <c r="X441" s="72"/>
      <c r="Y441" s="72"/>
      <c r="Z441" s="72"/>
    </row>
    <row r="442" ht="15.75" customHeight="1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3"/>
      <c r="T442" s="72"/>
      <c r="U442" s="72"/>
      <c r="V442" s="72"/>
      <c r="W442" s="72"/>
      <c r="X442" s="72"/>
      <c r="Y442" s="72"/>
      <c r="Z442" s="72"/>
    </row>
    <row r="443" ht="15.75" customHeight="1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3"/>
      <c r="T443" s="72"/>
      <c r="U443" s="72"/>
      <c r="V443" s="72"/>
      <c r="W443" s="72"/>
      <c r="X443" s="72"/>
      <c r="Y443" s="72"/>
      <c r="Z443" s="72"/>
    </row>
    <row r="444" ht="15.75" customHeight="1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3"/>
      <c r="T444" s="72"/>
      <c r="U444" s="72"/>
      <c r="V444" s="72"/>
      <c r="W444" s="72"/>
      <c r="X444" s="72"/>
      <c r="Y444" s="72"/>
      <c r="Z444" s="72"/>
    </row>
    <row r="445" ht="15.75" customHeight="1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3"/>
      <c r="T445" s="72"/>
      <c r="U445" s="72"/>
      <c r="V445" s="72"/>
      <c r="W445" s="72"/>
      <c r="X445" s="72"/>
      <c r="Y445" s="72"/>
      <c r="Z445" s="72"/>
    </row>
    <row r="446" ht="15.75" customHeight="1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3"/>
      <c r="T446" s="72"/>
      <c r="U446" s="72"/>
      <c r="V446" s="72"/>
      <c r="W446" s="72"/>
      <c r="X446" s="72"/>
      <c r="Y446" s="72"/>
      <c r="Z446" s="72"/>
    </row>
    <row r="447" ht="15.75" customHeight="1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3"/>
      <c r="T447" s="72"/>
      <c r="U447" s="72"/>
      <c r="V447" s="72"/>
      <c r="W447" s="72"/>
      <c r="X447" s="72"/>
      <c r="Y447" s="72"/>
      <c r="Z447" s="72"/>
    </row>
    <row r="448" ht="15.75" customHeight="1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3"/>
      <c r="T448" s="72"/>
      <c r="U448" s="72"/>
      <c r="V448" s="72"/>
      <c r="W448" s="72"/>
      <c r="X448" s="72"/>
      <c r="Y448" s="72"/>
      <c r="Z448" s="72"/>
    </row>
    <row r="449" ht="15.75" customHeight="1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3"/>
      <c r="T449" s="72"/>
      <c r="U449" s="72"/>
      <c r="V449" s="72"/>
      <c r="W449" s="72"/>
      <c r="X449" s="72"/>
      <c r="Y449" s="72"/>
      <c r="Z449" s="72"/>
    </row>
    <row r="450" ht="15.75" customHeight="1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3"/>
      <c r="T450" s="72"/>
      <c r="U450" s="72"/>
      <c r="V450" s="72"/>
      <c r="W450" s="72"/>
      <c r="X450" s="72"/>
      <c r="Y450" s="72"/>
      <c r="Z450" s="72"/>
    </row>
    <row r="451" ht="15.75" customHeight="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3"/>
      <c r="T451" s="72"/>
      <c r="U451" s="72"/>
      <c r="V451" s="72"/>
      <c r="W451" s="72"/>
      <c r="X451" s="72"/>
      <c r="Y451" s="72"/>
      <c r="Z451" s="72"/>
    </row>
    <row r="452" ht="15.75" customHeight="1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3"/>
      <c r="T452" s="72"/>
      <c r="U452" s="72"/>
      <c r="V452" s="72"/>
      <c r="W452" s="72"/>
      <c r="X452" s="72"/>
      <c r="Y452" s="72"/>
      <c r="Z452" s="72"/>
    </row>
    <row r="453" ht="15.75" customHeight="1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3"/>
      <c r="T453" s="72"/>
      <c r="U453" s="72"/>
      <c r="V453" s="72"/>
      <c r="W453" s="72"/>
      <c r="X453" s="72"/>
      <c r="Y453" s="72"/>
      <c r="Z453" s="72"/>
    </row>
    <row r="454" ht="15.75" customHeight="1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3"/>
      <c r="T454" s="72"/>
      <c r="U454" s="72"/>
      <c r="V454" s="72"/>
      <c r="W454" s="72"/>
      <c r="X454" s="72"/>
      <c r="Y454" s="72"/>
      <c r="Z454" s="72"/>
    </row>
    <row r="455" ht="15.75" customHeight="1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3"/>
      <c r="T455" s="72"/>
      <c r="U455" s="72"/>
      <c r="V455" s="72"/>
      <c r="W455" s="72"/>
      <c r="X455" s="72"/>
      <c r="Y455" s="72"/>
      <c r="Z455" s="72"/>
    </row>
    <row r="456" ht="15.75" customHeight="1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3"/>
      <c r="T456" s="72"/>
      <c r="U456" s="72"/>
      <c r="V456" s="72"/>
      <c r="W456" s="72"/>
      <c r="X456" s="72"/>
      <c r="Y456" s="72"/>
      <c r="Z456" s="72"/>
    </row>
    <row r="457" ht="15.75" customHeight="1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3"/>
      <c r="T457" s="72"/>
      <c r="U457" s="72"/>
      <c r="V457" s="72"/>
      <c r="W457" s="72"/>
      <c r="X457" s="72"/>
      <c r="Y457" s="72"/>
      <c r="Z457" s="72"/>
    </row>
    <row r="458" ht="15.75" customHeight="1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3"/>
      <c r="T458" s="72"/>
      <c r="U458" s="72"/>
      <c r="V458" s="72"/>
      <c r="W458" s="72"/>
      <c r="X458" s="72"/>
      <c r="Y458" s="72"/>
      <c r="Z458" s="72"/>
    </row>
    <row r="459" ht="15.75" customHeight="1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3"/>
      <c r="T459" s="72"/>
      <c r="U459" s="72"/>
      <c r="V459" s="72"/>
      <c r="W459" s="72"/>
      <c r="X459" s="72"/>
      <c r="Y459" s="72"/>
      <c r="Z459" s="72"/>
    </row>
    <row r="460" ht="15.75" customHeight="1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3"/>
      <c r="T460" s="72"/>
      <c r="U460" s="72"/>
      <c r="V460" s="72"/>
      <c r="W460" s="72"/>
      <c r="X460" s="72"/>
      <c r="Y460" s="72"/>
      <c r="Z460" s="72"/>
    </row>
    <row r="461" ht="15.75" customHeight="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3"/>
      <c r="T461" s="72"/>
      <c r="U461" s="72"/>
      <c r="V461" s="72"/>
      <c r="W461" s="72"/>
      <c r="X461" s="72"/>
      <c r="Y461" s="72"/>
      <c r="Z461" s="72"/>
    </row>
    <row r="462" ht="15.75" customHeight="1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3"/>
      <c r="T462" s="72"/>
      <c r="U462" s="72"/>
      <c r="V462" s="72"/>
      <c r="W462" s="72"/>
      <c r="X462" s="72"/>
      <c r="Y462" s="72"/>
      <c r="Z462" s="72"/>
    </row>
    <row r="463" ht="15.75" customHeight="1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3"/>
      <c r="T463" s="72"/>
      <c r="U463" s="72"/>
      <c r="V463" s="72"/>
      <c r="W463" s="72"/>
      <c r="X463" s="72"/>
      <c r="Y463" s="72"/>
      <c r="Z463" s="72"/>
    </row>
    <row r="464" ht="15.75" customHeight="1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3"/>
      <c r="T464" s="72"/>
      <c r="U464" s="72"/>
      <c r="V464" s="72"/>
      <c r="W464" s="72"/>
      <c r="X464" s="72"/>
      <c r="Y464" s="72"/>
      <c r="Z464" s="72"/>
    </row>
    <row r="465" ht="15.75" customHeight="1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3"/>
      <c r="T465" s="72"/>
      <c r="U465" s="72"/>
      <c r="V465" s="72"/>
      <c r="W465" s="72"/>
      <c r="X465" s="72"/>
      <c r="Y465" s="72"/>
      <c r="Z465" s="72"/>
    </row>
    <row r="466" ht="15.75" customHeight="1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3"/>
      <c r="T466" s="72"/>
      <c r="U466" s="72"/>
      <c r="V466" s="72"/>
      <c r="W466" s="72"/>
      <c r="X466" s="72"/>
      <c r="Y466" s="72"/>
      <c r="Z466" s="72"/>
    </row>
    <row r="467" ht="15.75" customHeight="1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3"/>
      <c r="T467" s="72"/>
      <c r="U467" s="72"/>
      <c r="V467" s="72"/>
      <c r="W467" s="72"/>
      <c r="X467" s="72"/>
      <c r="Y467" s="72"/>
      <c r="Z467" s="72"/>
    </row>
    <row r="468" ht="15.75" customHeight="1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3"/>
      <c r="T468" s="72"/>
      <c r="U468" s="72"/>
      <c r="V468" s="72"/>
      <c r="W468" s="72"/>
      <c r="X468" s="72"/>
      <c r="Y468" s="72"/>
      <c r="Z468" s="72"/>
    </row>
    <row r="469" ht="15.75" customHeight="1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3"/>
      <c r="T469" s="72"/>
      <c r="U469" s="72"/>
      <c r="V469" s="72"/>
      <c r="W469" s="72"/>
      <c r="X469" s="72"/>
      <c r="Y469" s="72"/>
      <c r="Z469" s="72"/>
    </row>
    <row r="470" ht="15.75" customHeight="1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3"/>
      <c r="T470" s="72"/>
      <c r="U470" s="72"/>
      <c r="V470" s="72"/>
      <c r="W470" s="72"/>
      <c r="X470" s="72"/>
      <c r="Y470" s="72"/>
      <c r="Z470" s="72"/>
    </row>
    <row r="471" ht="15.75" customHeight="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3"/>
      <c r="T471" s="72"/>
      <c r="U471" s="72"/>
      <c r="V471" s="72"/>
      <c r="W471" s="72"/>
      <c r="X471" s="72"/>
      <c r="Y471" s="72"/>
      <c r="Z471" s="72"/>
    </row>
    <row r="472" ht="15.75" customHeight="1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3"/>
      <c r="T472" s="72"/>
      <c r="U472" s="72"/>
      <c r="V472" s="72"/>
      <c r="W472" s="72"/>
      <c r="X472" s="72"/>
      <c r="Y472" s="72"/>
      <c r="Z472" s="72"/>
    </row>
    <row r="473" ht="15.75" customHeight="1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3"/>
      <c r="T473" s="72"/>
      <c r="U473" s="72"/>
      <c r="V473" s="72"/>
      <c r="W473" s="72"/>
      <c r="X473" s="72"/>
      <c r="Y473" s="72"/>
      <c r="Z473" s="72"/>
    </row>
    <row r="474" ht="15.75" customHeight="1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3"/>
      <c r="T474" s="72"/>
      <c r="U474" s="72"/>
      <c r="V474" s="72"/>
      <c r="W474" s="72"/>
      <c r="X474" s="72"/>
      <c r="Y474" s="72"/>
      <c r="Z474" s="72"/>
    </row>
    <row r="475" ht="15.75" customHeight="1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3"/>
      <c r="T475" s="72"/>
      <c r="U475" s="72"/>
      <c r="V475" s="72"/>
      <c r="W475" s="72"/>
      <c r="X475" s="72"/>
      <c r="Y475" s="72"/>
      <c r="Z475" s="72"/>
    </row>
    <row r="476" ht="15.75" customHeight="1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3"/>
      <c r="T476" s="72"/>
      <c r="U476" s="72"/>
      <c r="V476" s="72"/>
      <c r="W476" s="72"/>
      <c r="X476" s="72"/>
      <c r="Y476" s="72"/>
      <c r="Z476" s="72"/>
    </row>
    <row r="477" ht="15.75" customHeight="1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3"/>
      <c r="T477" s="72"/>
      <c r="U477" s="72"/>
      <c r="V477" s="72"/>
      <c r="W477" s="72"/>
      <c r="X477" s="72"/>
      <c r="Y477" s="72"/>
      <c r="Z477" s="72"/>
    </row>
    <row r="478" ht="15.75" customHeight="1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3"/>
      <c r="T478" s="72"/>
      <c r="U478" s="72"/>
      <c r="V478" s="72"/>
      <c r="W478" s="72"/>
      <c r="X478" s="72"/>
      <c r="Y478" s="72"/>
      <c r="Z478" s="72"/>
    </row>
    <row r="479" ht="15.75" customHeight="1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3"/>
      <c r="T479" s="72"/>
      <c r="U479" s="72"/>
      <c r="V479" s="72"/>
      <c r="W479" s="72"/>
      <c r="X479" s="72"/>
      <c r="Y479" s="72"/>
      <c r="Z479" s="72"/>
    </row>
    <row r="480" ht="15.75" customHeight="1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3"/>
      <c r="T480" s="72"/>
      <c r="U480" s="72"/>
      <c r="V480" s="72"/>
      <c r="W480" s="72"/>
      <c r="X480" s="72"/>
      <c r="Y480" s="72"/>
      <c r="Z480" s="72"/>
    </row>
    <row r="481" ht="15.75" customHeight="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3"/>
      <c r="T481" s="72"/>
      <c r="U481" s="72"/>
      <c r="V481" s="72"/>
      <c r="W481" s="72"/>
      <c r="X481" s="72"/>
      <c r="Y481" s="72"/>
      <c r="Z481" s="72"/>
    </row>
    <row r="482" ht="15.75" customHeight="1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3"/>
      <c r="T482" s="72"/>
      <c r="U482" s="72"/>
      <c r="V482" s="72"/>
      <c r="W482" s="72"/>
      <c r="X482" s="72"/>
      <c r="Y482" s="72"/>
      <c r="Z482" s="72"/>
    </row>
    <row r="483" ht="15.75" customHeight="1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3"/>
      <c r="T483" s="72"/>
      <c r="U483" s="72"/>
      <c r="V483" s="72"/>
      <c r="W483" s="72"/>
      <c r="X483" s="72"/>
      <c r="Y483" s="72"/>
      <c r="Z483" s="72"/>
    </row>
    <row r="484" ht="15.75" customHeight="1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3"/>
      <c r="T484" s="72"/>
      <c r="U484" s="72"/>
      <c r="V484" s="72"/>
      <c r="W484" s="72"/>
      <c r="X484" s="72"/>
      <c r="Y484" s="72"/>
      <c r="Z484" s="72"/>
    </row>
    <row r="485" ht="15.75" customHeight="1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3"/>
      <c r="T485" s="72"/>
      <c r="U485" s="72"/>
      <c r="V485" s="72"/>
      <c r="W485" s="72"/>
      <c r="X485" s="72"/>
      <c r="Y485" s="72"/>
      <c r="Z485" s="72"/>
    </row>
    <row r="486" ht="15.75" customHeight="1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3"/>
      <c r="T486" s="72"/>
      <c r="U486" s="72"/>
      <c r="V486" s="72"/>
      <c r="W486" s="72"/>
      <c r="X486" s="72"/>
      <c r="Y486" s="72"/>
      <c r="Z486" s="72"/>
    </row>
    <row r="487" ht="15.75" customHeight="1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3"/>
      <c r="T487" s="72"/>
      <c r="U487" s="72"/>
      <c r="V487" s="72"/>
      <c r="W487" s="72"/>
      <c r="X487" s="72"/>
      <c r="Y487" s="72"/>
      <c r="Z487" s="72"/>
    </row>
    <row r="488" ht="15.75" customHeight="1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3"/>
      <c r="T488" s="72"/>
      <c r="U488" s="72"/>
      <c r="V488" s="72"/>
      <c r="W488" s="72"/>
      <c r="X488" s="72"/>
      <c r="Y488" s="72"/>
      <c r="Z488" s="72"/>
    </row>
    <row r="489" ht="15.75" customHeight="1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3"/>
      <c r="T489" s="72"/>
      <c r="U489" s="72"/>
      <c r="V489" s="72"/>
      <c r="W489" s="72"/>
      <c r="X489" s="72"/>
      <c r="Y489" s="72"/>
      <c r="Z489" s="72"/>
    </row>
    <row r="490" ht="15.75" customHeight="1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3"/>
      <c r="T490" s="72"/>
      <c r="U490" s="72"/>
      <c r="V490" s="72"/>
      <c r="W490" s="72"/>
      <c r="X490" s="72"/>
      <c r="Y490" s="72"/>
      <c r="Z490" s="72"/>
    </row>
    <row r="491" ht="15.75" customHeight="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3"/>
      <c r="T491" s="72"/>
      <c r="U491" s="72"/>
      <c r="V491" s="72"/>
      <c r="W491" s="72"/>
      <c r="X491" s="72"/>
      <c r="Y491" s="72"/>
      <c r="Z491" s="72"/>
    </row>
    <row r="492" ht="15.75" customHeight="1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3"/>
      <c r="T492" s="72"/>
      <c r="U492" s="72"/>
      <c r="V492" s="72"/>
      <c r="W492" s="72"/>
      <c r="X492" s="72"/>
      <c r="Y492" s="72"/>
      <c r="Z492" s="72"/>
    </row>
    <row r="493" ht="15.75" customHeight="1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3"/>
      <c r="T493" s="72"/>
      <c r="U493" s="72"/>
      <c r="V493" s="72"/>
      <c r="W493" s="72"/>
      <c r="X493" s="72"/>
      <c r="Y493" s="72"/>
      <c r="Z493" s="72"/>
    </row>
    <row r="494" ht="15.75" customHeight="1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3"/>
      <c r="T494" s="72"/>
      <c r="U494" s="72"/>
      <c r="V494" s="72"/>
      <c r="W494" s="72"/>
      <c r="X494" s="72"/>
      <c r="Y494" s="72"/>
      <c r="Z494" s="72"/>
    </row>
    <row r="495" ht="15.75" customHeight="1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3"/>
      <c r="T495" s="72"/>
      <c r="U495" s="72"/>
      <c r="V495" s="72"/>
      <c r="W495" s="72"/>
      <c r="X495" s="72"/>
      <c r="Y495" s="72"/>
      <c r="Z495" s="72"/>
    </row>
    <row r="496" ht="15.75" customHeight="1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3"/>
      <c r="T496" s="72"/>
      <c r="U496" s="72"/>
      <c r="V496" s="72"/>
      <c r="W496" s="72"/>
      <c r="X496" s="72"/>
      <c r="Y496" s="72"/>
      <c r="Z496" s="72"/>
    </row>
    <row r="497" ht="15.75" customHeight="1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3"/>
      <c r="T497" s="72"/>
      <c r="U497" s="72"/>
      <c r="V497" s="72"/>
      <c r="W497" s="72"/>
      <c r="X497" s="72"/>
      <c r="Y497" s="72"/>
      <c r="Z497" s="72"/>
    </row>
    <row r="498" ht="15.75" customHeight="1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3"/>
      <c r="T498" s="72"/>
      <c r="U498" s="72"/>
      <c r="V498" s="72"/>
      <c r="W498" s="72"/>
      <c r="X498" s="72"/>
      <c r="Y498" s="72"/>
      <c r="Z498" s="72"/>
    </row>
    <row r="499" ht="15.75" customHeight="1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3"/>
      <c r="T499" s="72"/>
      <c r="U499" s="72"/>
      <c r="V499" s="72"/>
      <c r="W499" s="72"/>
      <c r="X499" s="72"/>
      <c r="Y499" s="72"/>
      <c r="Z499" s="72"/>
    </row>
    <row r="500" ht="15.75" customHeight="1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3"/>
      <c r="T500" s="72"/>
      <c r="U500" s="72"/>
      <c r="V500" s="72"/>
      <c r="W500" s="72"/>
      <c r="X500" s="72"/>
      <c r="Y500" s="72"/>
      <c r="Z500" s="72"/>
    </row>
    <row r="501" ht="15.75" customHeight="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3"/>
      <c r="T501" s="72"/>
      <c r="U501" s="72"/>
      <c r="V501" s="72"/>
      <c r="W501" s="72"/>
      <c r="X501" s="72"/>
      <c r="Y501" s="72"/>
      <c r="Z501" s="72"/>
    </row>
    <row r="502" ht="15.75" customHeight="1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3"/>
      <c r="T502" s="72"/>
      <c r="U502" s="72"/>
      <c r="V502" s="72"/>
      <c r="W502" s="72"/>
      <c r="X502" s="72"/>
      <c r="Y502" s="72"/>
      <c r="Z502" s="72"/>
    </row>
    <row r="503" ht="15.75" customHeight="1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3"/>
      <c r="T503" s="72"/>
      <c r="U503" s="72"/>
      <c r="V503" s="72"/>
      <c r="W503" s="72"/>
      <c r="X503" s="72"/>
      <c r="Y503" s="72"/>
      <c r="Z503" s="72"/>
    </row>
    <row r="504" ht="15.75" customHeight="1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3"/>
      <c r="T504" s="72"/>
      <c r="U504" s="72"/>
      <c r="V504" s="72"/>
      <c r="W504" s="72"/>
      <c r="X504" s="72"/>
      <c r="Y504" s="72"/>
      <c r="Z504" s="72"/>
    </row>
    <row r="505" ht="15.75" customHeight="1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3"/>
      <c r="T505" s="72"/>
      <c r="U505" s="72"/>
      <c r="V505" s="72"/>
      <c r="W505" s="72"/>
      <c r="X505" s="72"/>
      <c r="Y505" s="72"/>
      <c r="Z505" s="72"/>
    </row>
    <row r="506" ht="15.75" customHeight="1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3"/>
      <c r="T506" s="72"/>
      <c r="U506" s="72"/>
      <c r="V506" s="72"/>
      <c r="W506" s="72"/>
      <c r="X506" s="72"/>
      <c r="Y506" s="72"/>
      <c r="Z506" s="72"/>
    </row>
    <row r="507" ht="15.75" customHeight="1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3"/>
      <c r="T507" s="72"/>
      <c r="U507" s="72"/>
      <c r="V507" s="72"/>
      <c r="W507" s="72"/>
      <c r="X507" s="72"/>
      <c r="Y507" s="72"/>
      <c r="Z507" s="72"/>
    </row>
    <row r="508" ht="15.75" customHeight="1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3"/>
      <c r="T508" s="72"/>
      <c r="U508" s="72"/>
      <c r="V508" s="72"/>
      <c r="W508" s="72"/>
      <c r="X508" s="72"/>
      <c r="Y508" s="72"/>
      <c r="Z508" s="72"/>
    </row>
    <row r="509" ht="15.75" customHeight="1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3"/>
      <c r="T509" s="72"/>
      <c r="U509" s="72"/>
      <c r="V509" s="72"/>
      <c r="W509" s="72"/>
      <c r="X509" s="72"/>
      <c r="Y509" s="72"/>
      <c r="Z509" s="72"/>
    </row>
    <row r="510" ht="15.75" customHeight="1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3"/>
      <c r="T510" s="72"/>
      <c r="U510" s="72"/>
      <c r="V510" s="72"/>
      <c r="W510" s="72"/>
      <c r="X510" s="72"/>
      <c r="Y510" s="72"/>
      <c r="Z510" s="72"/>
    </row>
    <row r="511" ht="15.75" customHeight="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3"/>
      <c r="T511" s="72"/>
      <c r="U511" s="72"/>
      <c r="V511" s="72"/>
      <c r="W511" s="72"/>
      <c r="X511" s="72"/>
      <c r="Y511" s="72"/>
      <c r="Z511" s="72"/>
    </row>
    <row r="512" ht="15.75" customHeight="1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3"/>
      <c r="T512" s="72"/>
      <c r="U512" s="72"/>
      <c r="V512" s="72"/>
      <c r="W512" s="72"/>
      <c r="X512" s="72"/>
      <c r="Y512" s="72"/>
      <c r="Z512" s="72"/>
    </row>
    <row r="513" ht="15.75" customHeight="1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3"/>
      <c r="T513" s="72"/>
      <c r="U513" s="72"/>
      <c r="V513" s="72"/>
      <c r="W513" s="72"/>
      <c r="X513" s="72"/>
      <c r="Y513" s="72"/>
      <c r="Z513" s="72"/>
    </row>
    <row r="514" ht="15.75" customHeight="1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3"/>
      <c r="T514" s="72"/>
      <c r="U514" s="72"/>
      <c r="V514" s="72"/>
      <c r="W514" s="72"/>
      <c r="X514" s="72"/>
      <c r="Y514" s="72"/>
      <c r="Z514" s="72"/>
    </row>
    <row r="515" ht="15.75" customHeight="1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3"/>
      <c r="T515" s="72"/>
      <c r="U515" s="72"/>
      <c r="V515" s="72"/>
      <c r="W515" s="72"/>
      <c r="X515" s="72"/>
      <c r="Y515" s="72"/>
      <c r="Z515" s="72"/>
    </row>
    <row r="516" ht="15.75" customHeight="1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3"/>
      <c r="T516" s="72"/>
      <c r="U516" s="72"/>
      <c r="V516" s="72"/>
      <c r="W516" s="72"/>
      <c r="X516" s="72"/>
      <c r="Y516" s="72"/>
      <c r="Z516" s="72"/>
    </row>
    <row r="517" ht="15.75" customHeight="1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3"/>
      <c r="T517" s="72"/>
      <c r="U517" s="72"/>
      <c r="V517" s="72"/>
      <c r="W517" s="72"/>
      <c r="X517" s="72"/>
      <c r="Y517" s="72"/>
      <c r="Z517" s="72"/>
    </row>
    <row r="518" ht="15.75" customHeight="1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3"/>
      <c r="T518" s="72"/>
      <c r="U518" s="72"/>
      <c r="V518" s="72"/>
      <c r="W518" s="72"/>
      <c r="X518" s="72"/>
      <c r="Y518" s="72"/>
      <c r="Z518" s="72"/>
    </row>
    <row r="519" ht="15.75" customHeight="1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3"/>
      <c r="T519" s="72"/>
      <c r="U519" s="72"/>
      <c r="V519" s="72"/>
      <c r="W519" s="72"/>
      <c r="X519" s="72"/>
      <c r="Y519" s="72"/>
      <c r="Z519" s="72"/>
    </row>
    <row r="520" ht="15.75" customHeight="1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3"/>
      <c r="T520" s="72"/>
      <c r="U520" s="72"/>
      <c r="V520" s="72"/>
      <c r="W520" s="72"/>
      <c r="X520" s="72"/>
      <c r="Y520" s="72"/>
      <c r="Z520" s="72"/>
    </row>
    <row r="521" ht="15.75" customHeight="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3"/>
      <c r="T521" s="72"/>
      <c r="U521" s="72"/>
      <c r="V521" s="72"/>
      <c r="W521" s="72"/>
      <c r="X521" s="72"/>
      <c r="Y521" s="72"/>
      <c r="Z521" s="72"/>
    </row>
    <row r="522" ht="15.75" customHeight="1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3"/>
      <c r="T522" s="72"/>
      <c r="U522" s="72"/>
      <c r="V522" s="72"/>
      <c r="W522" s="72"/>
      <c r="X522" s="72"/>
      <c r="Y522" s="72"/>
      <c r="Z522" s="72"/>
    </row>
    <row r="523" ht="15.75" customHeight="1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3"/>
      <c r="T523" s="72"/>
      <c r="U523" s="72"/>
      <c r="V523" s="72"/>
      <c r="W523" s="72"/>
      <c r="X523" s="72"/>
      <c r="Y523" s="72"/>
      <c r="Z523" s="72"/>
    </row>
    <row r="524" ht="15.75" customHeight="1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3"/>
      <c r="T524" s="72"/>
      <c r="U524" s="72"/>
      <c r="V524" s="72"/>
      <c r="W524" s="72"/>
      <c r="X524" s="72"/>
      <c r="Y524" s="72"/>
      <c r="Z524" s="72"/>
    </row>
    <row r="525" ht="15.75" customHeight="1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3"/>
      <c r="T525" s="72"/>
      <c r="U525" s="72"/>
      <c r="V525" s="72"/>
      <c r="W525" s="72"/>
      <c r="X525" s="72"/>
      <c r="Y525" s="72"/>
      <c r="Z525" s="72"/>
    </row>
    <row r="526" ht="15.75" customHeight="1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3"/>
      <c r="T526" s="72"/>
      <c r="U526" s="72"/>
      <c r="V526" s="72"/>
      <c r="W526" s="72"/>
      <c r="X526" s="72"/>
      <c r="Y526" s="72"/>
      <c r="Z526" s="72"/>
    </row>
    <row r="527" ht="15.75" customHeight="1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3"/>
      <c r="T527" s="72"/>
      <c r="U527" s="72"/>
      <c r="V527" s="72"/>
      <c r="W527" s="72"/>
      <c r="X527" s="72"/>
      <c r="Y527" s="72"/>
      <c r="Z527" s="72"/>
    </row>
    <row r="528" ht="15.75" customHeight="1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3"/>
      <c r="T528" s="72"/>
      <c r="U528" s="72"/>
      <c r="V528" s="72"/>
      <c r="W528" s="72"/>
      <c r="X528" s="72"/>
      <c r="Y528" s="72"/>
      <c r="Z528" s="72"/>
    </row>
    <row r="529" ht="15.75" customHeight="1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3"/>
      <c r="T529" s="72"/>
      <c r="U529" s="72"/>
      <c r="V529" s="72"/>
      <c r="W529" s="72"/>
      <c r="X529" s="72"/>
      <c r="Y529" s="72"/>
      <c r="Z529" s="72"/>
    </row>
    <row r="530" ht="15.75" customHeight="1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3"/>
      <c r="T530" s="72"/>
      <c r="U530" s="72"/>
      <c r="V530" s="72"/>
      <c r="W530" s="72"/>
      <c r="X530" s="72"/>
      <c r="Y530" s="72"/>
      <c r="Z530" s="72"/>
    </row>
    <row r="531" ht="15.75" customHeight="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3"/>
      <c r="T531" s="72"/>
      <c r="U531" s="72"/>
      <c r="V531" s="72"/>
      <c r="W531" s="72"/>
      <c r="X531" s="72"/>
      <c r="Y531" s="72"/>
      <c r="Z531" s="72"/>
    </row>
    <row r="532" ht="15.75" customHeight="1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3"/>
      <c r="T532" s="72"/>
      <c r="U532" s="72"/>
      <c r="V532" s="72"/>
      <c r="W532" s="72"/>
      <c r="X532" s="72"/>
      <c r="Y532" s="72"/>
      <c r="Z532" s="72"/>
    </row>
    <row r="533" ht="15.75" customHeight="1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3"/>
      <c r="T533" s="72"/>
      <c r="U533" s="72"/>
      <c r="V533" s="72"/>
      <c r="W533" s="72"/>
      <c r="X533" s="72"/>
      <c r="Y533" s="72"/>
      <c r="Z533" s="72"/>
    </row>
    <row r="534" ht="15.75" customHeight="1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3"/>
      <c r="T534" s="72"/>
      <c r="U534" s="72"/>
      <c r="V534" s="72"/>
      <c r="W534" s="72"/>
      <c r="X534" s="72"/>
      <c r="Y534" s="72"/>
      <c r="Z534" s="72"/>
    </row>
    <row r="535" ht="15.75" customHeight="1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3"/>
      <c r="T535" s="72"/>
      <c r="U535" s="72"/>
      <c r="V535" s="72"/>
      <c r="W535" s="72"/>
      <c r="X535" s="72"/>
      <c r="Y535" s="72"/>
      <c r="Z535" s="72"/>
    </row>
    <row r="536" ht="15.75" customHeight="1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3"/>
      <c r="T536" s="72"/>
      <c r="U536" s="72"/>
      <c r="V536" s="72"/>
      <c r="W536" s="72"/>
      <c r="X536" s="72"/>
      <c r="Y536" s="72"/>
      <c r="Z536" s="72"/>
    </row>
    <row r="537" ht="15.75" customHeight="1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3"/>
      <c r="T537" s="72"/>
      <c r="U537" s="72"/>
      <c r="V537" s="72"/>
      <c r="W537" s="72"/>
      <c r="X537" s="72"/>
      <c r="Y537" s="72"/>
      <c r="Z537" s="72"/>
    </row>
    <row r="538" ht="15.75" customHeight="1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3"/>
      <c r="T538" s="72"/>
      <c r="U538" s="72"/>
      <c r="V538" s="72"/>
      <c r="W538" s="72"/>
      <c r="X538" s="72"/>
      <c r="Y538" s="72"/>
      <c r="Z538" s="72"/>
    </row>
    <row r="539" ht="15.75" customHeight="1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3"/>
      <c r="T539" s="72"/>
      <c r="U539" s="72"/>
      <c r="V539" s="72"/>
      <c r="W539" s="72"/>
      <c r="X539" s="72"/>
      <c r="Y539" s="72"/>
      <c r="Z539" s="72"/>
    </row>
    <row r="540" ht="15.75" customHeight="1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3"/>
      <c r="T540" s="72"/>
      <c r="U540" s="72"/>
      <c r="V540" s="72"/>
      <c r="W540" s="72"/>
      <c r="X540" s="72"/>
      <c r="Y540" s="72"/>
      <c r="Z540" s="72"/>
    </row>
    <row r="541" ht="15.75" customHeight="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3"/>
      <c r="T541" s="72"/>
      <c r="U541" s="72"/>
      <c r="V541" s="72"/>
      <c r="W541" s="72"/>
      <c r="X541" s="72"/>
      <c r="Y541" s="72"/>
      <c r="Z541" s="72"/>
    </row>
    <row r="542" ht="15.75" customHeight="1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3"/>
      <c r="T542" s="72"/>
      <c r="U542" s="72"/>
      <c r="V542" s="72"/>
      <c r="W542" s="72"/>
      <c r="X542" s="72"/>
      <c r="Y542" s="72"/>
      <c r="Z542" s="72"/>
    </row>
    <row r="543" ht="15.75" customHeight="1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3"/>
      <c r="T543" s="72"/>
      <c r="U543" s="72"/>
      <c r="V543" s="72"/>
      <c r="W543" s="72"/>
      <c r="X543" s="72"/>
      <c r="Y543" s="72"/>
      <c r="Z543" s="72"/>
    </row>
    <row r="544" ht="15.75" customHeight="1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3"/>
      <c r="T544" s="72"/>
      <c r="U544" s="72"/>
      <c r="V544" s="72"/>
      <c r="W544" s="72"/>
      <c r="X544" s="72"/>
      <c r="Y544" s="72"/>
      <c r="Z544" s="72"/>
    </row>
    <row r="545" ht="15.75" customHeight="1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3"/>
      <c r="T545" s="72"/>
      <c r="U545" s="72"/>
      <c r="V545" s="72"/>
      <c r="W545" s="72"/>
      <c r="X545" s="72"/>
      <c r="Y545" s="72"/>
      <c r="Z545" s="72"/>
    </row>
    <row r="546" ht="15.75" customHeight="1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3"/>
      <c r="T546" s="72"/>
      <c r="U546" s="72"/>
      <c r="V546" s="72"/>
      <c r="W546" s="72"/>
      <c r="X546" s="72"/>
      <c r="Y546" s="72"/>
      <c r="Z546" s="72"/>
    </row>
    <row r="547" ht="15.75" customHeight="1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3"/>
      <c r="T547" s="72"/>
      <c r="U547" s="72"/>
      <c r="V547" s="72"/>
      <c r="W547" s="72"/>
      <c r="X547" s="72"/>
      <c r="Y547" s="72"/>
      <c r="Z547" s="72"/>
    </row>
    <row r="548" ht="15.75" customHeight="1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3"/>
      <c r="T548" s="72"/>
      <c r="U548" s="72"/>
      <c r="V548" s="72"/>
      <c r="W548" s="72"/>
      <c r="X548" s="72"/>
      <c r="Y548" s="72"/>
      <c r="Z548" s="72"/>
    </row>
    <row r="549" ht="15.75" customHeight="1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3"/>
      <c r="T549" s="72"/>
      <c r="U549" s="72"/>
      <c r="V549" s="72"/>
      <c r="W549" s="72"/>
      <c r="X549" s="72"/>
      <c r="Y549" s="72"/>
      <c r="Z549" s="72"/>
    </row>
    <row r="550" ht="15.75" customHeight="1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3"/>
      <c r="T550" s="72"/>
      <c r="U550" s="72"/>
      <c r="V550" s="72"/>
      <c r="W550" s="72"/>
      <c r="X550" s="72"/>
      <c r="Y550" s="72"/>
      <c r="Z550" s="72"/>
    </row>
    <row r="551" ht="15.75" customHeight="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3"/>
      <c r="T551" s="72"/>
      <c r="U551" s="72"/>
      <c r="V551" s="72"/>
      <c r="W551" s="72"/>
      <c r="X551" s="72"/>
      <c r="Y551" s="72"/>
      <c r="Z551" s="72"/>
    </row>
    <row r="552" ht="15.75" customHeight="1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3"/>
      <c r="T552" s="72"/>
      <c r="U552" s="72"/>
      <c r="V552" s="72"/>
      <c r="W552" s="72"/>
      <c r="X552" s="72"/>
      <c r="Y552" s="72"/>
      <c r="Z552" s="72"/>
    </row>
    <row r="553" ht="15.75" customHeight="1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3"/>
      <c r="T553" s="72"/>
      <c r="U553" s="72"/>
      <c r="V553" s="72"/>
      <c r="W553" s="72"/>
      <c r="X553" s="72"/>
      <c r="Y553" s="72"/>
      <c r="Z553" s="72"/>
    </row>
    <row r="554" ht="15.75" customHeight="1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3"/>
      <c r="T554" s="72"/>
      <c r="U554" s="72"/>
      <c r="V554" s="72"/>
      <c r="W554" s="72"/>
      <c r="X554" s="72"/>
      <c r="Y554" s="72"/>
      <c r="Z554" s="72"/>
    </row>
    <row r="555" ht="15.75" customHeight="1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3"/>
      <c r="T555" s="72"/>
      <c r="U555" s="72"/>
      <c r="V555" s="72"/>
      <c r="W555" s="72"/>
      <c r="X555" s="72"/>
      <c r="Y555" s="72"/>
      <c r="Z555" s="72"/>
    </row>
    <row r="556" ht="15.75" customHeight="1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3"/>
      <c r="T556" s="72"/>
      <c r="U556" s="72"/>
      <c r="V556" s="72"/>
      <c r="W556" s="72"/>
      <c r="X556" s="72"/>
      <c r="Y556" s="72"/>
      <c r="Z556" s="72"/>
    </row>
    <row r="557" ht="15.75" customHeight="1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3"/>
      <c r="T557" s="72"/>
      <c r="U557" s="72"/>
      <c r="V557" s="72"/>
      <c r="W557" s="72"/>
      <c r="X557" s="72"/>
      <c r="Y557" s="72"/>
      <c r="Z557" s="72"/>
    </row>
    <row r="558" ht="15.75" customHeight="1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3"/>
      <c r="T558" s="72"/>
      <c r="U558" s="72"/>
      <c r="V558" s="72"/>
      <c r="W558" s="72"/>
      <c r="X558" s="72"/>
      <c r="Y558" s="72"/>
      <c r="Z558" s="72"/>
    </row>
    <row r="559" ht="15.75" customHeight="1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3"/>
      <c r="T559" s="72"/>
      <c r="U559" s="72"/>
      <c r="V559" s="72"/>
      <c r="W559" s="72"/>
      <c r="X559" s="72"/>
      <c r="Y559" s="72"/>
      <c r="Z559" s="72"/>
    </row>
    <row r="560" ht="15.75" customHeight="1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3"/>
      <c r="T560" s="72"/>
      <c r="U560" s="72"/>
      <c r="V560" s="72"/>
      <c r="W560" s="72"/>
      <c r="X560" s="72"/>
      <c r="Y560" s="72"/>
      <c r="Z560" s="72"/>
    </row>
    <row r="561" ht="15.75" customHeight="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3"/>
      <c r="T561" s="72"/>
      <c r="U561" s="72"/>
      <c r="V561" s="72"/>
      <c r="W561" s="72"/>
      <c r="X561" s="72"/>
      <c r="Y561" s="72"/>
      <c r="Z561" s="72"/>
    </row>
    <row r="562" ht="15.75" customHeight="1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3"/>
      <c r="T562" s="72"/>
      <c r="U562" s="72"/>
      <c r="V562" s="72"/>
      <c r="W562" s="72"/>
      <c r="X562" s="72"/>
      <c r="Y562" s="72"/>
      <c r="Z562" s="72"/>
    </row>
    <row r="563" ht="15.75" customHeight="1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3"/>
      <c r="T563" s="72"/>
      <c r="U563" s="72"/>
      <c r="V563" s="72"/>
      <c r="W563" s="72"/>
      <c r="X563" s="72"/>
      <c r="Y563" s="72"/>
      <c r="Z563" s="72"/>
    </row>
    <row r="564" ht="15.75" customHeight="1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3"/>
      <c r="T564" s="72"/>
      <c r="U564" s="72"/>
      <c r="V564" s="72"/>
      <c r="W564" s="72"/>
      <c r="X564" s="72"/>
      <c r="Y564" s="72"/>
      <c r="Z564" s="72"/>
    </row>
    <row r="565" ht="15.75" customHeight="1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3"/>
      <c r="T565" s="72"/>
      <c r="U565" s="72"/>
      <c r="V565" s="72"/>
      <c r="W565" s="72"/>
      <c r="X565" s="72"/>
      <c r="Y565" s="72"/>
      <c r="Z565" s="72"/>
    </row>
    <row r="566" ht="15.75" customHeight="1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3"/>
      <c r="T566" s="72"/>
      <c r="U566" s="72"/>
      <c r="V566" s="72"/>
      <c r="W566" s="72"/>
      <c r="X566" s="72"/>
      <c r="Y566" s="72"/>
      <c r="Z566" s="72"/>
    </row>
    <row r="567" ht="15.75" customHeight="1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3"/>
      <c r="T567" s="72"/>
      <c r="U567" s="72"/>
      <c r="V567" s="72"/>
      <c r="W567" s="72"/>
      <c r="X567" s="72"/>
      <c r="Y567" s="72"/>
      <c r="Z567" s="72"/>
    </row>
    <row r="568" ht="15.75" customHeight="1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3"/>
      <c r="T568" s="72"/>
      <c r="U568" s="72"/>
      <c r="V568" s="72"/>
      <c r="W568" s="72"/>
      <c r="X568" s="72"/>
      <c r="Y568" s="72"/>
      <c r="Z568" s="72"/>
    </row>
    <row r="569" ht="15.75" customHeight="1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3"/>
      <c r="T569" s="72"/>
      <c r="U569" s="72"/>
      <c r="V569" s="72"/>
      <c r="W569" s="72"/>
      <c r="X569" s="72"/>
      <c r="Y569" s="72"/>
      <c r="Z569" s="72"/>
    </row>
    <row r="570" ht="15.75" customHeight="1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3"/>
      <c r="T570" s="72"/>
      <c r="U570" s="72"/>
      <c r="V570" s="72"/>
      <c r="W570" s="72"/>
      <c r="X570" s="72"/>
      <c r="Y570" s="72"/>
      <c r="Z570" s="72"/>
    </row>
    <row r="571" ht="15.75" customHeight="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3"/>
      <c r="T571" s="72"/>
      <c r="U571" s="72"/>
      <c r="V571" s="72"/>
      <c r="W571" s="72"/>
      <c r="X571" s="72"/>
      <c r="Y571" s="72"/>
      <c r="Z571" s="72"/>
    </row>
    <row r="572" ht="15.75" customHeight="1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3"/>
      <c r="T572" s="72"/>
      <c r="U572" s="72"/>
      <c r="V572" s="72"/>
      <c r="W572" s="72"/>
      <c r="X572" s="72"/>
      <c r="Y572" s="72"/>
      <c r="Z572" s="72"/>
    </row>
    <row r="573" ht="15.75" customHeight="1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3"/>
      <c r="T573" s="72"/>
      <c r="U573" s="72"/>
      <c r="V573" s="72"/>
      <c r="W573" s="72"/>
      <c r="X573" s="72"/>
      <c r="Y573" s="72"/>
      <c r="Z573" s="72"/>
    </row>
    <row r="574" ht="15.75" customHeight="1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3"/>
      <c r="T574" s="72"/>
      <c r="U574" s="72"/>
      <c r="V574" s="72"/>
      <c r="W574" s="72"/>
      <c r="X574" s="72"/>
      <c r="Y574" s="72"/>
      <c r="Z574" s="72"/>
    </row>
    <row r="575" ht="15.75" customHeight="1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3"/>
      <c r="T575" s="72"/>
      <c r="U575" s="72"/>
      <c r="V575" s="72"/>
      <c r="W575" s="72"/>
      <c r="X575" s="72"/>
      <c r="Y575" s="72"/>
      <c r="Z575" s="72"/>
    </row>
    <row r="576" ht="15.75" customHeight="1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3"/>
      <c r="T576" s="72"/>
      <c r="U576" s="72"/>
      <c r="V576" s="72"/>
      <c r="W576" s="72"/>
      <c r="X576" s="72"/>
      <c r="Y576" s="72"/>
      <c r="Z576" s="72"/>
    </row>
    <row r="577" ht="15.75" customHeight="1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3"/>
      <c r="T577" s="72"/>
      <c r="U577" s="72"/>
      <c r="V577" s="72"/>
      <c r="W577" s="72"/>
      <c r="X577" s="72"/>
      <c r="Y577" s="72"/>
      <c r="Z577" s="72"/>
    </row>
    <row r="578" ht="15.75" customHeight="1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3"/>
      <c r="T578" s="72"/>
      <c r="U578" s="72"/>
      <c r="V578" s="72"/>
      <c r="W578" s="72"/>
      <c r="X578" s="72"/>
      <c r="Y578" s="72"/>
      <c r="Z578" s="72"/>
    </row>
    <row r="579" ht="15.75" customHeight="1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3"/>
      <c r="T579" s="72"/>
      <c r="U579" s="72"/>
      <c r="V579" s="72"/>
      <c r="W579" s="72"/>
      <c r="X579" s="72"/>
      <c r="Y579" s="72"/>
      <c r="Z579" s="72"/>
    </row>
    <row r="580" ht="15.75" customHeight="1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3"/>
      <c r="T580" s="72"/>
      <c r="U580" s="72"/>
      <c r="V580" s="72"/>
      <c r="W580" s="72"/>
      <c r="X580" s="72"/>
      <c r="Y580" s="72"/>
      <c r="Z580" s="72"/>
    </row>
    <row r="581" ht="15.75" customHeight="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3"/>
      <c r="T581" s="72"/>
      <c r="U581" s="72"/>
      <c r="V581" s="72"/>
      <c r="W581" s="72"/>
      <c r="X581" s="72"/>
      <c r="Y581" s="72"/>
      <c r="Z581" s="72"/>
    </row>
    <row r="582" ht="15.75" customHeight="1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3"/>
      <c r="T582" s="72"/>
      <c r="U582" s="72"/>
      <c r="V582" s="72"/>
      <c r="W582" s="72"/>
      <c r="X582" s="72"/>
      <c r="Y582" s="72"/>
      <c r="Z582" s="72"/>
    </row>
    <row r="583" ht="15.75" customHeight="1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3"/>
      <c r="T583" s="72"/>
      <c r="U583" s="72"/>
      <c r="V583" s="72"/>
      <c r="W583" s="72"/>
      <c r="X583" s="72"/>
      <c r="Y583" s="72"/>
      <c r="Z583" s="72"/>
    </row>
    <row r="584" ht="15.75" customHeight="1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3"/>
      <c r="T584" s="72"/>
      <c r="U584" s="72"/>
      <c r="V584" s="72"/>
      <c r="W584" s="72"/>
      <c r="X584" s="72"/>
      <c r="Y584" s="72"/>
      <c r="Z584" s="72"/>
    </row>
    <row r="585" ht="15.75" customHeight="1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3"/>
      <c r="T585" s="72"/>
      <c r="U585" s="72"/>
      <c r="V585" s="72"/>
      <c r="W585" s="72"/>
      <c r="X585" s="72"/>
      <c r="Y585" s="72"/>
      <c r="Z585" s="72"/>
    </row>
    <row r="586" ht="15.75" customHeight="1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3"/>
      <c r="T586" s="72"/>
      <c r="U586" s="72"/>
      <c r="V586" s="72"/>
      <c r="W586" s="72"/>
      <c r="X586" s="72"/>
      <c r="Y586" s="72"/>
      <c r="Z586" s="72"/>
    </row>
    <row r="587" ht="15.75" customHeight="1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3"/>
      <c r="T587" s="72"/>
      <c r="U587" s="72"/>
      <c r="V587" s="72"/>
      <c r="W587" s="72"/>
      <c r="X587" s="72"/>
      <c r="Y587" s="72"/>
      <c r="Z587" s="72"/>
    </row>
    <row r="588" ht="15.75" customHeight="1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3"/>
      <c r="T588" s="72"/>
      <c r="U588" s="72"/>
      <c r="V588" s="72"/>
      <c r="W588" s="72"/>
      <c r="X588" s="72"/>
      <c r="Y588" s="72"/>
      <c r="Z588" s="72"/>
    </row>
    <row r="589" ht="15.75" customHeight="1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3"/>
      <c r="T589" s="72"/>
      <c r="U589" s="72"/>
      <c r="V589" s="72"/>
      <c r="W589" s="72"/>
      <c r="X589" s="72"/>
      <c r="Y589" s="72"/>
      <c r="Z589" s="72"/>
    </row>
    <row r="590" ht="15.75" customHeight="1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3"/>
      <c r="T590" s="72"/>
      <c r="U590" s="72"/>
      <c r="V590" s="72"/>
      <c r="W590" s="72"/>
      <c r="X590" s="72"/>
      <c r="Y590" s="72"/>
      <c r="Z590" s="72"/>
    </row>
    <row r="591" ht="15.75" customHeight="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3"/>
      <c r="T591" s="72"/>
      <c r="U591" s="72"/>
      <c r="V591" s="72"/>
      <c r="W591" s="72"/>
      <c r="X591" s="72"/>
      <c r="Y591" s="72"/>
      <c r="Z591" s="72"/>
    </row>
    <row r="592" ht="15.75" customHeight="1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3"/>
      <c r="T592" s="72"/>
      <c r="U592" s="72"/>
      <c r="V592" s="72"/>
      <c r="W592" s="72"/>
      <c r="X592" s="72"/>
      <c r="Y592" s="72"/>
      <c r="Z592" s="72"/>
    </row>
    <row r="593" ht="15.75" customHeight="1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3"/>
      <c r="T593" s="72"/>
      <c r="U593" s="72"/>
      <c r="V593" s="72"/>
      <c r="W593" s="72"/>
      <c r="X593" s="72"/>
      <c r="Y593" s="72"/>
      <c r="Z593" s="72"/>
    </row>
    <row r="594" ht="15.75" customHeight="1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3"/>
      <c r="T594" s="72"/>
      <c r="U594" s="72"/>
      <c r="V594" s="72"/>
      <c r="W594" s="72"/>
      <c r="X594" s="72"/>
      <c r="Y594" s="72"/>
      <c r="Z594" s="72"/>
    </row>
    <row r="595" ht="15.75" customHeight="1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3"/>
      <c r="T595" s="72"/>
      <c r="U595" s="72"/>
      <c r="V595" s="72"/>
      <c r="W595" s="72"/>
      <c r="X595" s="72"/>
      <c r="Y595" s="72"/>
      <c r="Z595" s="72"/>
    </row>
    <row r="596" ht="15.75" customHeight="1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3"/>
      <c r="T596" s="72"/>
      <c r="U596" s="72"/>
      <c r="V596" s="72"/>
      <c r="W596" s="72"/>
      <c r="X596" s="72"/>
      <c r="Y596" s="72"/>
      <c r="Z596" s="72"/>
    </row>
    <row r="597" ht="15.75" customHeight="1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3"/>
      <c r="T597" s="72"/>
      <c r="U597" s="72"/>
      <c r="V597" s="72"/>
      <c r="W597" s="72"/>
      <c r="X597" s="72"/>
      <c r="Y597" s="72"/>
      <c r="Z597" s="72"/>
    </row>
    <row r="598" ht="15.75" customHeight="1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3"/>
      <c r="T598" s="72"/>
      <c r="U598" s="72"/>
      <c r="V598" s="72"/>
      <c r="W598" s="72"/>
      <c r="X598" s="72"/>
      <c r="Y598" s="72"/>
      <c r="Z598" s="72"/>
    </row>
    <row r="599" ht="15.75" customHeight="1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3"/>
      <c r="T599" s="72"/>
      <c r="U599" s="72"/>
      <c r="V599" s="72"/>
      <c r="W599" s="72"/>
      <c r="X599" s="72"/>
      <c r="Y599" s="72"/>
      <c r="Z599" s="72"/>
    </row>
    <row r="600" ht="15.75" customHeight="1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3"/>
      <c r="T600" s="72"/>
      <c r="U600" s="72"/>
      <c r="V600" s="72"/>
      <c r="W600" s="72"/>
      <c r="X600" s="72"/>
      <c r="Y600" s="72"/>
      <c r="Z600" s="72"/>
    </row>
    <row r="601" ht="15.75" customHeight="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3"/>
      <c r="T601" s="72"/>
      <c r="U601" s="72"/>
      <c r="V601" s="72"/>
      <c r="W601" s="72"/>
      <c r="X601" s="72"/>
      <c r="Y601" s="72"/>
      <c r="Z601" s="72"/>
    </row>
    <row r="602" ht="15.75" customHeight="1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3"/>
      <c r="T602" s="72"/>
      <c r="U602" s="72"/>
      <c r="V602" s="72"/>
      <c r="W602" s="72"/>
      <c r="X602" s="72"/>
      <c r="Y602" s="72"/>
      <c r="Z602" s="72"/>
    </row>
    <row r="603" ht="15.75" customHeight="1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3"/>
      <c r="T603" s="72"/>
      <c r="U603" s="72"/>
      <c r="V603" s="72"/>
      <c r="W603" s="72"/>
      <c r="X603" s="72"/>
      <c r="Y603" s="72"/>
      <c r="Z603" s="72"/>
    </row>
    <row r="604" ht="15.75" customHeight="1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3"/>
      <c r="T604" s="72"/>
      <c r="U604" s="72"/>
      <c r="V604" s="72"/>
      <c r="W604" s="72"/>
      <c r="X604" s="72"/>
      <c r="Y604" s="72"/>
      <c r="Z604" s="72"/>
    </row>
    <row r="605" ht="15.75" customHeight="1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3"/>
      <c r="T605" s="72"/>
      <c r="U605" s="72"/>
      <c r="V605" s="72"/>
      <c r="W605" s="72"/>
      <c r="X605" s="72"/>
      <c r="Y605" s="72"/>
      <c r="Z605" s="72"/>
    </row>
    <row r="606" ht="15.75" customHeight="1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3"/>
      <c r="T606" s="72"/>
      <c r="U606" s="72"/>
      <c r="V606" s="72"/>
      <c r="W606" s="72"/>
      <c r="X606" s="72"/>
      <c r="Y606" s="72"/>
      <c r="Z606" s="72"/>
    </row>
    <row r="607" ht="15.75" customHeight="1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3"/>
      <c r="T607" s="72"/>
      <c r="U607" s="72"/>
      <c r="V607" s="72"/>
      <c r="W607" s="72"/>
      <c r="X607" s="72"/>
      <c r="Y607" s="72"/>
      <c r="Z607" s="72"/>
    </row>
    <row r="608" ht="15.75" customHeight="1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3"/>
      <c r="T608" s="72"/>
      <c r="U608" s="72"/>
      <c r="V608" s="72"/>
      <c r="W608" s="72"/>
      <c r="X608" s="72"/>
      <c r="Y608" s="72"/>
      <c r="Z608" s="72"/>
    </row>
    <row r="609" ht="15.75" customHeight="1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3"/>
      <c r="T609" s="72"/>
      <c r="U609" s="72"/>
      <c r="V609" s="72"/>
      <c r="W609" s="72"/>
      <c r="X609" s="72"/>
      <c r="Y609" s="72"/>
      <c r="Z609" s="72"/>
    </row>
    <row r="610" ht="15.75" customHeight="1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3"/>
      <c r="T610" s="72"/>
      <c r="U610" s="72"/>
      <c r="V610" s="72"/>
      <c r="W610" s="72"/>
      <c r="X610" s="72"/>
      <c r="Y610" s="72"/>
      <c r="Z610" s="72"/>
    </row>
    <row r="611" ht="15.75" customHeight="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3"/>
      <c r="T611" s="72"/>
      <c r="U611" s="72"/>
      <c r="V611" s="72"/>
      <c r="W611" s="72"/>
      <c r="X611" s="72"/>
      <c r="Y611" s="72"/>
      <c r="Z611" s="72"/>
    </row>
    <row r="612" ht="15.75" customHeight="1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3"/>
      <c r="T612" s="72"/>
      <c r="U612" s="72"/>
      <c r="V612" s="72"/>
      <c r="W612" s="72"/>
      <c r="X612" s="72"/>
      <c r="Y612" s="72"/>
      <c r="Z612" s="72"/>
    </row>
    <row r="613" ht="15.75" customHeight="1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3"/>
      <c r="T613" s="72"/>
      <c r="U613" s="72"/>
      <c r="V613" s="72"/>
      <c r="W613" s="72"/>
      <c r="X613" s="72"/>
      <c r="Y613" s="72"/>
      <c r="Z613" s="72"/>
    </row>
    <row r="614" ht="15.75" customHeight="1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3"/>
      <c r="T614" s="72"/>
      <c r="U614" s="72"/>
      <c r="V614" s="72"/>
      <c r="W614" s="72"/>
      <c r="X614" s="72"/>
      <c r="Y614" s="72"/>
      <c r="Z614" s="72"/>
    </row>
    <row r="615" ht="15.75" customHeight="1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3"/>
      <c r="T615" s="72"/>
      <c r="U615" s="72"/>
      <c r="V615" s="72"/>
      <c r="W615" s="72"/>
      <c r="X615" s="72"/>
      <c r="Y615" s="72"/>
      <c r="Z615" s="72"/>
    </row>
    <row r="616" ht="15.75" customHeight="1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3"/>
      <c r="T616" s="72"/>
      <c r="U616" s="72"/>
      <c r="V616" s="72"/>
      <c r="W616" s="72"/>
      <c r="X616" s="72"/>
      <c r="Y616" s="72"/>
      <c r="Z616" s="72"/>
    </row>
    <row r="617" ht="15.75" customHeight="1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3"/>
      <c r="T617" s="72"/>
      <c r="U617" s="72"/>
      <c r="V617" s="72"/>
      <c r="W617" s="72"/>
      <c r="X617" s="72"/>
      <c r="Y617" s="72"/>
      <c r="Z617" s="72"/>
    </row>
    <row r="618" ht="15.75" customHeight="1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3"/>
      <c r="T618" s="72"/>
      <c r="U618" s="72"/>
      <c r="V618" s="72"/>
      <c r="W618" s="72"/>
      <c r="X618" s="72"/>
      <c r="Y618" s="72"/>
      <c r="Z618" s="72"/>
    </row>
    <row r="619" ht="15.75" customHeight="1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3"/>
      <c r="T619" s="72"/>
      <c r="U619" s="72"/>
      <c r="V619" s="72"/>
      <c r="W619" s="72"/>
      <c r="X619" s="72"/>
      <c r="Y619" s="72"/>
      <c r="Z619" s="72"/>
    </row>
    <row r="620" ht="15.75" customHeight="1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3"/>
      <c r="T620" s="72"/>
      <c r="U620" s="72"/>
      <c r="V620" s="72"/>
      <c r="W620" s="72"/>
      <c r="X620" s="72"/>
      <c r="Y620" s="72"/>
      <c r="Z620" s="72"/>
    </row>
    <row r="621" ht="15.75" customHeight="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3"/>
      <c r="T621" s="72"/>
      <c r="U621" s="72"/>
      <c r="V621" s="72"/>
      <c r="W621" s="72"/>
      <c r="X621" s="72"/>
      <c r="Y621" s="72"/>
      <c r="Z621" s="72"/>
    </row>
    <row r="622" ht="15.75" customHeight="1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3"/>
      <c r="T622" s="72"/>
      <c r="U622" s="72"/>
      <c r="V622" s="72"/>
      <c r="W622" s="72"/>
      <c r="X622" s="72"/>
      <c r="Y622" s="72"/>
      <c r="Z622" s="72"/>
    </row>
    <row r="623" ht="15.75" customHeight="1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3"/>
      <c r="T623" s="72"/>
      <c r="U623" s="72"/>
      <c r="V623" s="72"/>
      <c r="W623" s="72"/>
      <c r="X623" s="72"/>
      <c r="Y623" s="72"/>
      <c r="Z623" s="72"/>
    </row>
    <row r="624" ht="15.75" customHeight="1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3"/>
      <c r="T624" s="72"/>
      <c r="U624" s="72"/>
      <c r="V624" s="72"/>
      <c r="W624" s="72"/>
      <c r="X624" s="72"/>
      <c r="Y624" s="72"/>
      <c r="Z624" s="72"/>
    </row>
    <row r="625" ht="15.75" customHeight="1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3"/>
      <c r="T625" s="72"/>
      <c r="U625" s="72"/>
      <c r="V625" s="72"/>
      <c r="W625" s="72"/>
      <c r="X625" s="72"/>
      <c r="Y625" s="72"/>
      <c r="Z625" s="72"/>
    </row>
    <row r="626" ht="15.75" customHeight="1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3"/>
      <c r="T626" s="72"/>
      <c r="U626" s="72"/>
      <c r="V626" s="72"/>
      <c r="W626" s="72"/>
      <c r="X626" s="72"/>
      <c r="Y626" s="72"/>
      <c r="Z626" s="72"/>
    </row>
    <row r="627" ht="15.75" customHeight="1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3"/>
      <c r="T627" s="72"/>
      <c r="U627" s="72"/>
      <c r="V627" s="72"/>
      <c r="W627" s="72"/>
      <c r="X627" s="72"/>
      <c r="Y627" s="72"/>
      <c r="Z627" s="72"/>
    </row>
    <row r="628" ht="15.75" customHeight="1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3"/>
      <c r="T628" s="72"/>
      <c r="U628" s="72"/>
      <c r="V628" s="72"/>
      <c r="W628" s="72"/>
      <c r="X628" s="72"/>
      <c r="Y628" s="72"/>
      <c r="Z628" s="72"/>
    </row>
    <row r="629" ht="15.75" customHeight="1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3"/>
      <c r="T629" s="72"/>
      <c r="U629" s="72"/>
      <c r="V629" s="72"/>
      <c r="W629" s="72"/>
      <c r="X629" s="72"/>
      <c r="Y629" s="72"/>
      <c r="Z629" s="72"/>
    </row>
    <row r="630" ht="15.75" customHeight="1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3"/>
      <c r="T630" s="72"/>
      <c r="U630" s="72"/>
      <c r="V630" s="72"/>
      <c r="W630" s="72"/>
      <c r="X630" s="72"/>
      <c r="Y630" s="72"/>
      <c r="Z630" s="72"/>
    </row>
    <row r="631" ht="15.75" customHeight="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3"/>
      <c r="T631" s="72"/>
      <c r="U631" s="72"/>
      <c r="V631" s="72"/>
      <c r="W631" s="72"/>
      <c r="X631" s="72"/>
      <c r="Y631" s="72"/>
      <c r="Z631" s="72"/>
    </row>
    <row r="632" ht="15.75" customHeight="1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3"/>
      <c r="T632" s="72"/>
      <c r="U632" s="72"/>
      <c r="V632" s="72"/>
      <c r="W632" s="72"/>
      <c r="X632" s="72"/>
      <c r="Y632" s="72"/>
      <c r="Z632" s="72"/>
    </row>
    <row r="633" ht="15.75" customHeight="1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3"/>
      <c r="T633" s="72"/>
      <c r="U633" s="72"/>
      <c r="V633" s="72"/>
      <c r="W633" s="72"/>
      <c r="X633" s="72"/>
      <c r="Y633" s="72"/>
      <c r="Z633" s="72"/>
    </row>
    <row r="634" ht="15.75" customHeight="1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3"/>
      <c r="T634" s="72"/>
      <c r="U634" s="72"/>
      <c r="V634" s="72"/>
      <c r="W634" s="72"/>
      <c r="X634" s="72"/>
      <c r="Y634" s="72"/>
      <c r="Z634" s="72"/>
    </row>
    <row r="635" ht="15.75" customHeight="1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3"/>
      <c r="T635" s="72"/>
      <c r="U635" s="72"/>
      <c r="V635" s="72"/>
      <c r="W635" s="72"/>
      <c r="X635" s="72"/>
      <c r="Y635" s="72"/>
      <c r="Z635" s="72"/>
    </row>
    <row r="636" ht="15.75" customHeight="1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3"/>
      <c r="T636" s="72"/>
      <c r="U636" s="72"/>
      <c r="V636" s="72"/>
      <c r="W636" s="72"/>
      <c r="X636" s="72"/>
      <c r="Y636" s="72"/>
      <c r="Z636" s="72"/>
    </row>
    <row r="637" ht="15.75" customHeight="1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3"/>
      <c r="T637" s="72"/>
      <c r="U637" s="72"/>
      <c r="V637" s="72"/>
      <c r="W637" s="72"/>
      <c r="X637" s="72"/>
      <c r="Y637" s="72"/>
      <c r="Z637" s="72"/>
    </row>
    <row r="638" ht="15.75" customHeight="1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3"/>
      <c r="T638" s="72"/>
      <c r="U638" s="72"/>
      <c r="V638" s="72"/>
      <c r="W638" s="72"/>
      <c r="X638" s="72"/>
      <c r="Y638" s="72"/>
      <c r="Z638" s="72"/>
    </row>
    <row r="639" ht="15.75" customHeight="1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3"/>
      <c r="T639" s="72"/>
      <c r="U639" s="72"/>
      <c r="V639" s="72"/>
      <c r="W639" s="72"/>
      <c r="X639" s="72"/>
      <c r="Y639" s="72"/>
      <c r="Z639" s="72"/>
    </row>
    <row r="640" ht="15.75" customHeight="1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3"/>
      <c r="T640" s="72"/>
      <c r="U640" s="72"/>
      <c r="V640" s="72"/>
      <c r="W640" s="72"/>
      <c r="X640" s="72"/>
      <c r="Y640" s="72"/>
      <c r="Z640" s="72"/>
    </row>
    <row r="641" ht="15.75" customHeight="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3"/>
      <c r="T641" s="72"/>
      <c r="U641" s="72"/>
      <c r="V641" s="72"/>
      <c r="W641" s="72"/>
      <c r="X641" s="72"/>
      <c r="Y641" s="72"/>
      <c r="Z641" s="72"/>
    </row>
    <row r="642" ht="15.75" customHeight="1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3"/>
      <c r="T642" s="72"/>
      <c r="U642" s="72"/>
      <c r="V642" s="72"/>
      <c r="W642" s="72"/>
      <c r="X642" s="72"/>
      <c r="Y642" s="72"/>
      <c r="Z642" s="72"/>
    </row>
    <row r="643" ht="15.75" customHeight="1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3"/>
      <c r="T643" s="72"/>
      <c r="U643" s="72"/>
      <c r="V643" s="72"/>
      <c r="W643" s="72"/>
      <c r="X643" s="72"/>
      <c r="Y643" s="72"/>
      <c r="Z643" s="72"/>
    </row>
    <row r="644" ht="15.75" customHeight="1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3"/>
      <c r="T644" s="72"/>
      <c r="U644" s="72"/>
      <c r="V644" s="72"/>
      <c r="W644" s="72"/>
      <c r="X644" s="72"/>
      <c r="Y644" s="72"/>
      <c r="Z644" s="72"/>
    </row>
    <row r="645" ht="15.75" customHeight="1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3"/>
      <c r="T645" s="72"/>
      <c r="U645" s="72"/>
      <c r="V645" s="72"/>
      <c r="W645" s="72"/>
      <c r="X645" s="72"/>
      <c r="Y645" s="72"/>
      <c r="Z645" s="72"/>
    </row>
    <row r="646" ht="15.75" customHeight="1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3"/>
      <c r="T646" s="72"/>
      <c r="U646" s="72"/>
      <c r="V646" s="72"/>
      <c r="W646" s="72"/>
      <c r="X646" s="72"/>
      <c r="Y646" s="72"/>
      <c r="Z646" s="72"/>
    </row>
    <row r="647" ht="15.75" customHeight="1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3"/>
      <c r="T647" s="72"/>
      <c r="U647" s="72"/>
      <c r="V647" s="72"/>
      <c r="W647" s="72"/>
      <c r="X647" s="72"/>
      <c r="Y647" s="72"/>
      <c r="Z647" s="72"/>
    </row>
    <row r="648" ht="15.75" customHeight="1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3"/>
      <c r="T648" s="72"/>
      <c r="U648" s="72"/>
      <c r="V648" s="72"/>
      <c r="W648" s="72"/>
      <c r="X648" s="72"/>
      <c r="Y648" s="72"/>
      <c r="Z648" s="72"/>
    </row>
    <row r="649" ht="15.75" customHeight="1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3"/>
      <c r="T649" s="72"/>
      <c r="U649" s="72"/>
      <c r="V649" s="72"/>
      <c r="W649" s="72"/>
      <c r="X649" s="72"/>
      <c r="Y649" s="72"/>
      <c r="Z649" s="72"/>
    </row>
    <row r="650" ht="15.75" customHeight="1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3"/>
      <c r="T650" s="72"/>
      <c r="U650" s="72"/>
      <c r="V650" s="72"/>
      <c r="W650" s="72"/>
      <c r="X650" s="72"/>
      <c r="Y650" s="72"/>
      <c r="Z650" s="72"/>
    </row>
    <row r="651" ht="15.75" customHeight="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3"/>
      <c r="T651" s="72"/>
      <c r="U651" s="72"/>
      <c r="V651" s="72"/>
      <c r="W651" s="72"/>
      <c r="X651" s="72"/>
      <c r="Y651" s="72"/>
      <c r="Z651" s="72"/>
    </row>
    <row r="652" ht="15.75" customHeight="1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3"/>
      <c r="T652" s="72"/>
      <c r="U652" s="72"/>
      <c r="V652" s="72"/>
      <c r="W652" s="72"/>
      <c r="X652" s="72"/>
      <c r="Y652" s="72"/>
      <c r="Z652" s="72"/>
    </row>
    <row r="653" ht="15.75" customHeight="1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3"/>
      <c r="T653" s="72"/>
      <c r="U653" s="72"/>
      <c r="V653" s="72"/>
      <c r="W653" s="72"/>
      <c r="X653" s="72"/>
      <c r="Y653" s="72"/>
      <c r="Z653" s="72"/>
    </row>
    <row r="654" ht="15.75" customHeight="1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3"/>
      <c r="T654" s="72"/>
      <c r="U654" s="72"/>
      <c r="V654" s="72"/>
      <c r="W654" s="72"/>
      <c r="X654" s="72"/>
      <c r="Y654" s="72"/>
      <c r="Z654" s="72"/>
    </row>
    <row r="655" ht="15.75" customHeight="1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3"/>
      <c r="T655" s="72"/>
      <c r="U655" s="72"/>
      <c r="V655" s="72"/>
      <c r="W655" s="72"/>
      <c r="X655" s="72"/>
      <c r="Y655" s="72"/>
      <c r="Z655" s="72"/>
    </row>
    <row r="656" ht="15.75" customHeight="1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3"/>
      <c r="T656" s="72"/>
      <c r="U656" s="72"/>
      <c r="V656" s="72"/>
      <c r="W656" s="72"/>
      <c r="X656" s="72"/>
      <c r="Y656" s="72"/>
      <c r="Z656" s="72"/>
    </row>
    <row r="657" ht="15.75" customHeight="1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3"/>
      <c r="T657" s="72"/>
      <c r="U657" s="72"/>
      <c r="V657" s="72"/>
      <c r="W657" s="72"/>
      <c r="X657" s="72"/>
      <c r="Y657" s="72"/>
      <c r="Z657" s="72"/>
    </row>
    <row r="658" ht="15.75" customHeight="1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3"/>
      <c r="T658" s="72"/>
      <c r="U658" s="72"/>
      <c r="V658" s="72"/>
      <c r="W658" s="72"/>
      <c r="X658" s="72"/>
      <c r="Y658" s="72"/>
      <c r="Z658" s="72"/>
    </row>
    <row r="659" ht="15.75" customHeight="1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3"/>
      <c r="T659" s="72"/>
      <c r="U659" s="72"/>
      <c r="V659" s="72"/>
      <c r="W659" s="72"/>
      <c r="X659" s="72"/>
      <c r="Y659" s="72"/>
      <c r="Z659" s="72"/>
    </row>
    <row r="660" ht="15.75" customHeight="1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3"/>
      <c r="T660" s="72"/>
      <c r="U660" s="72"/>
      <c r="V660" s="72"/>
      <c r="W660" s="72"/>
      <c r="X660" s="72"/>
      <c r="Y660" s="72"/>
      <c r="Z660" s="72"/>
    </row>
    <row r="661" ht="15.75" customHeight="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3"/>
      <c r="T661" s="72"/>
      <c r="U661" s="72"/>
      <c r="V661" s="72"/>
      <c r="W661" s="72"/>
      <c r="X661" s="72"/>
      <c r="Y661" s="72"/>
      <c r="Z661" s="72"/>
    </row>
    <row r="662" ht="15.75" customHeight="1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3"/>
      <c r="T662" s="72"/>
      <c r="U662" s="72"/>
      <c r="V662" s="72"/>
      <c r="W662" s="72"/>
      <c r="X662" s="72"/>
      <c r="Y662" s="72"/>
      <c r="Z662" s="72"/>
    </row>
    <row r="663" ht="15.75" customHeight="1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3"/>
      <c r="T663" s="72"/>
      <c r="U663" s="72"/>
      <c r="V663" s="72"/>
      <c r="W663" s="72"/>
      <c r="X663" s="72"/>
      <c r="Y663" s="72"/>
      <c r="Z663" s="72"/>
    </row>
    <row r="664" ht="15.75" customHeight="1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3"/>
      <c r="T664" s="72"/>
      <c r="U664" s="72"/>
      <c r="V664" s="72"/>
      <c r="W664" s="72"/>
      <c r="X664" s="72"/>
      <c r="Y664" s="72"/>
      <c r="Z664" s="72"/>
    </row>
    <row r="665" ht="15.75" customHeight="1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3"/>
      <c r="T665" s="72"/>
      <c r="U665" s="72"/>
      <c r="V665" s="72"/>
      <c r="W665" s="72"/>
      <c r="X665" s="72"/>
      <c r="Y665" s="72"/>
      <c r="Z665" s="72"/>
    </row>
    <row r="666" ht="15.75" customHeight="1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3"/>
      <c r="T666" s="72"/>
      <c r="U666" s="72"/>
      <c r="V666" s="72"/>
      <c r="W666" s="72"/>
      <c r="X666" s="72"/>
      <c r="Y666" s="72"/>
      <c r="Z666" s="72"/>
    </row>
    <row r="667" ht="15.75" customHeight="1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3"/>
      <c r="T667" s="72"/>
      <c r="U667" s="72"/>
      <c r="V667" s="72"/>
      <c r="W667" s="72"/>
      <c r="X667" s="72"/>
      <c r="Y667" s="72"/>
      <c r="Z667" s="72"/>
    </row>
    <row r="668" ht="15.75" customHeight="1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3"/>
      <c r="T668" s="72"/>
      <c r="U668" s="72"/>
      <c r="V668" s="72"/>
      <c r="W668" s="72"/>
      <c r="X668" s="72"/>
      <c r="Y668" s="72"/>
      <c r="Z668" s="72"/>
    </row>
    <row r="669" ht="15.75" customHeight="1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3"/>
      <c r="T669" s="72"/>
      <c r="U669" s="72"/>
      <c r="V669" s="72"/>
      <c r="W669" s="72"/>
      <c r="X669" s="72"/>
      <c r="Y669" s="72"/>
      <c r="Z669" s="72"/>
    </row>
    <row r="670" ht="15.75" customHeight="1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3"/>
      <c r="T670" s="72"/>
      <c r="U670" s="72"/>
      <c r="V670" s="72"/>
      <c r="W670" s="72"/>
      <c r="X670" s="72"/>
      <c r="Y670" s="72"/>
      <c r="Z670" s="72"/>
    </row>
    <row r="671" ht="15.75" customHeight="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3"/>
      <c r="T671" s="72"/>
      <c r="U671" s="72"/>
      <c r="V671" s="72"/>
      <c r="W671" s="72"/>
      <c r="X671" s="72"/>
      <c r="Y671" s="72"/>
      <c r="Z671" s="72"/>
    </row>
    <row r="672" ht="15.75" customHeight="1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3"/>
      <c r="T672" s="72"/>
      <c r="U672" s="72"/>
      <c r="V672" s="72"/>
      <c r="W672" s="72"/>
      <c r="X672" s="72"/>
      <c r="Y672" s="72"/>
      <c r="Z672" s="72"/>
    </row>
    <row r="673" ht="15.75" customHeight="1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3"/>
      <c r="T673" s="72"/>
      <c r="U673" s="72"/>
      <c r="V673" s="72"/>
      <c r="W673" s="72"/>
      <c r="X673" s="72"/>
      <c r="Y673" s="72"/>
      <c r="Z673" s="72"/>
    </row>
    <row r="674" ht="15.75" customHeight="1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3"/>
      <c r="T674" s="72"/>
      <c r="U674" s="72"/>
      <c r="V674" s="72"/>
      <c r="W674" s="72"/>
      <c r="X674" s="72"/>
      <c r="Y674" s="72"/>
      <c r="Z674" s="72"/>
    </row>
    <row r="675" ht="15.75" customHeight="1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3"/>
      <c r="T675" s="72"/>
      <c r="U675" s="72"/>
      <c r="V675" s="72"/>
      <c r="W675" s="72"/>
      <c r="X675" s="72"/>
      <c r="Y675" s="72"/>
      <c r="Z675" s="72"/>
    </row>
    <row r="676" ht="15.75" customHeight="1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3"/>
      <c r="T676" s="72"/>
      <c r="U676" s="72"/>
      <c r="V676" s="72"/>
      <c r="W676" s="72"/>
      <c r="X676" s="72"/>
      <c r="Y676" s="72"/>
      <c r="Z676" s="72"/>
    </row>
    <row r="677" ht="15.75" customHeight="1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3"/>
      <c r="T677" s="72"/>
      <c r="U677" s="72"/>
      <c r="V677" s="72"/>
      <c r="W677" s="72"/>
      <c r="X677" s="72"/>
      <c r="Y677" s="72"/>
      <c r="Z677" s="72"/>
    </row>
    <row r="678" ht="15.75" customHeight="1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3"/>
      <c r="T678" s="72"/>
      <c r="U678" s="72"/>
      <c r="V678" s="72"/>
      <c r="W678" s="72"/>
      <c r="X678" s="72"/>
      <c r="Y678" s="72"/>
      <c r="Z678" s="72"/>
    </row>
    <row r="679" ht="15.75" customHeight="1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3"/>
      <c r="T679" s="72"/>
      <c r="U679" s="72"/>
      <c r="V679" s="72"/>
      <c r="W679" s="72"/>
      <c r="X679" s="72"/>
      <c r="Y679" s="72"/>
      <c r="Z679" s="72"/>
    </row>
    <row r="680" ht="15.75" customHeight="1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3"/>
      <c r="T680" s="72"/>
      <c r="U680" s="72"/>
      <c r="V680" s="72"/>
      <c r="W680" s="72"/>
      <c r="X680" s="72"/>
      <c r="Y680" s="72"/>
      <c r="Z680" s="72"/>
    </row>
    <row r="681" ht="15.75" customHeight="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3"/>
      <c r="T681" s="72"/>
      <c r="U681" s="72"/>
      <c r="V681" s="72"/>
      <c r="W681" s="72"/>
      <c r="X681" s="72"/>
      <c r="Y681" s="72"/>
      <c r="Z681" s="72"/>
    </row>
    <row r="682" ht="15.75" customHeight="1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3"/>
      <c r="T682" s="72"/>
      <c r="U682" s="72"/>
      <c r="V682" s="72"/>
      <c r="W682" s="72"/>
      <c r="X682" s="72"/>
      <c r="Y682" s="72"/>
      <c r="Z682" s="72"/>
    </row>
    <row r="683" ht="15.75" customHeight="1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3"/>
      <c r="T683" s="72"/>
      <c r="U683" s="72"/>
      <c r="V683" s="72"/>
      <c r="W683" s="72"/>
      <c r="X683" s="72"/>
      <c r="Y683" s="72"/>
      <c r="Z683" s="72"/>
    </row>
    <row r="684" ht="15.75" customHeight="1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3"/>
      <c r="T684" s="72"/>
      <c r="U684" s="72"/>
      <c r="V684" s="72"/>
      <c r="W684" s="72"/>
      <c r="X684" s="72"/>
      <c r="Y684" s="72"/>
      <c r="Z684" s="72"/>
    </row>
    <row r="685" ht="15.75" customHeight="1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3"/>
      <c r="T685" s="72"/>
      <c r="U685" s="72"/>
      <c r="V685" s="72"/>
      <c r="W685" s="72"/>
      <c r="X685" s="72"/>
      <c r="Y685" s="72"/>
      <c r="Z685" s="72"/>
    </row>
    <row r="686" ht="15.75" customHeight="1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3"/>
      <c r="T686" s="72"/>
      <c r="U686" s="72"/>
      <c r="V686" s="72"/>
      <c r="W686" s="72"/>
      <c r="X686" s="72"/>
      <c r="Y686" s="72"/>
      <c r="Z686" s="72"/>
    </row>
    <row r="687" ht="15.75" customHeight="1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3"/>
      <c r="T687" s="72"/>
      <c r="U687" s="72"/>
      <c r="V687" s="72"/>
      <c r="W687" s="72"/>
      <c r="X687" s="72"/>
      <c r="Y687" s="72"/>
      <c r="Z687" s="72"/>
    </row>
    <row r="688" ht="15.75" customHeight="1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3"/>
      <c r="T688" s="72"/>
      <c r="U688" s="72"/>
      <c r="V688" s="72"/>
      <c r="W688" s="72"/>
      <c r="X688" s="72"/>
      <c r="Y688" s="72"/>
      <c r="Z688" s="72"/>
    </row>
    <row r="689" ht="15.75" customHeight="1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3"/>
      <c r="T689" s="72"/>
      <c r="U689" s="72"/>
      <c r="V689" s="72"/>
      <c r="W689" s="72"/>
      <c r="X689" s="72"/>
      <c r="Y689" s="72"/>
      <c r="Z689" s="72"/>
    </row>
    <row r="690" ht="15.75" customHeight="1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3"/>
      <c r="T690" s="72"/>
      <c r="U690" s="72"/>
      <c r="V690" s="72"/>
      <c r="W690" s="72"/>
      <c r="X690" s="72"/>
      <c r="Y690" s="72"/>
      <c r="Z690" s="72"/>
    </row>
    <row r="691" ht="15.75" customHeight="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3"/>
      <c r="T691" s="72"/>
      <c r="U691" s="72"/>
      <c r="V691" s="72"/>
      <c r="W691" s="72"/>
      <c r="X691" s="72"/>
      <c r="Y691" s="72"/>
      <c r="Z691" s="72"/>
    </row>
    <row r="692" ht="15.75" customHeight="1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3"/>
      <c r="T692" s="72"/>
      <c r="U692" s="72"/>
      <c r="V692" s="72"/>
      <c r="W692" s="72"/>
      <c r="X692" s="72"/>
      <c r="Y692" s="72"/>
      <c r="Z692" s="72"/>
    </row>
    <row r="693" ht="15.75" customHeight="1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3"/>
      <c r="T693" s="72"/>
      <c r="U693" s="72"/>
      <c r="V693" s="72"/>
      <c r="W693" s="72"/>
      <c r="X693" s="72"/>
      <c r="Y693" s="72"/>
      <c r="Z693" s="72"/>
    </row>
    <row r="694" ht="15.75" customHeight="1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3"/>
      <c r="T694" s="72"/>
      <c r="U694" s="72"/>
      <c r="V694" s="72"/>
      <c r="W694" s="72"/>
      <c r="X694" s="72"/>
      <c r="Y694" s="72"/>
      <c r="Z694" s="72"/>
    </row>
    <row r="695" ht="15.75" customHeight="1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3"/>
      <c r="T695" s="72"/>
      <c r="U695" s="72"/>
      <c r="V695" s="72"/>
      <c r="W695" s="72"/>
      <c r="X695" s="72"/>
      <c r="Y695" s="72"/>
      <c r="Z695" s="72"/>
    </row>
    <row r="696" ht="15.75" customHeight="1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3"/>
      <c r="T696" s="72"/>
      <c r="U696" s="72"/>
      <c r="V696" s="72"/>
      <c r="W696" s="72"/>
      <c r="X696" s="72"/>
      <c r="Y696" s="72"/>
      <c r="Z696" s="72"/>
    </row>
    <row r="697" ht="15.75" customHeight="1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3"/>
      <c r="T697" s="72"/>
      <c r="U697" s="72"/>
      <c r="V697" s="72"/>
      <c r="W697" s="72"/>
      <c r="X697" s="72"/>
      <c r="Y697" s="72"/>
      <c r="Z697" s="72"/>
    </row>
    <row r="698" ht="15.75" customHeight="1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3"/>
      <c r="T698" s="72"/>
      <c r="U698" s="72"/>
      <c r="V698" s="72"/>
      <c r="W698" s="72"/>
      <c r="X698" s="72"/>
      <c r="Y698" s="72"/>
      <c r="Z698" s="72"/>
    </row>
    <row r="699" ht="15.75" customHeight="1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3"/>
      <c r="T699" s="72"/>
      <c r="U699" s="72"/>
      <c r="V699" s="72"/>
      <c r="W699" s="72"/>
      <c r="X699" s="72"/>
      <c r="Y699" s="72"/>
      <c r="Z699" s="72"/>
    </row>
    <row r="700" ht="15.75" customHeight="1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3"/>
      <c r="T700" s="72"/>
      <c r="U700" s="72"/>
      <c r="V700" s="72"/>
      <c r="W700" s="72"/>
      <c r="X700" s="72"/>
      <c r="Y700" s="72"/>
      <c r="Z700" s="72"/>
    </row>
    <row r="701" ht="15.75" customHeight="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3"/>
      <c r="T701" s="72"/>
      <c r="U701" s="72"/>
      <c r="V701" s="72"/>
      <c r="W701" s="72"/>
      <c r="X701" s="72"/>
      <c r="Y701" s="72"/>
      <c r="Z701" s="72"/>
    </row>
    <row r="702" ht="15.75" customHeight="1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3"/>
      <c r="T702" s="72"/>
      <c r="U702" s="72"/>
      <c r="V702" s="72"/>
      <c r="W702" s="72"/>
      <c r="X702" s="72"/>
      <c r="Y702" s="72"/>
      <c r="Z702" s="72"/>
    </row>
    <row r="703" ht="15.75" customHeight="1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3"/>
      <c r="T703" s="72"/>
      <c r="U703" s="72"/>
      <c r="V703" s="72"/>
      <c r="W703" s="72"/>
      <c r="X703" s="72"/>
      <c r="Y703" s="72"/>
      <c r="Z703" s="72"/>
    </row>
    <row r="704" ht="15.75" customHeight="1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3"/>
      <c r="T704" s="72"/>
      <c r="U704" s="72"/>
      <c r="V704" s="72"/>
      <c r="W704" s="72"/>
      <c r="X704" s="72"/>
      <c r="Y704" s="72"/>
      <c r="Z704" s="72"/>
    </row>
    <row r="705" ht="15.75" customHeight="1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3"/>
      <c r="T705" s="72"/>
      <c r="U705" s="72"/>
      <c r="V705" s="72"/>
      <c r="W705" s="72"/>
      <c r="X705" s="72"/>
      <c r="Y705" s="72"/>
      <c r="Z705" s="72"/>
    </row>
    <row r="706" ht="15.75" customHeight="1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3"/>
      <c r="T706" s="72"/>
      <c r="U706" s="72"/>
      <c r="V706" s="72"/>
      <c r="W706" s="72"/>
      <c r="X706" s="72"/>
      <c r="Y706" s="72"/>
      <c r="Z706" s="72"/>
    </row>
    <row r="707" ht="15.75" customHeight="1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3"/>
      <c r="T707" s="72"/>
      <c r="U707" s="72"/>
      <c r="V707" s="72"/>
      <c r="W707" s="72"/>
      <c r="X707" s="72"/>
      <c r="Y707" s="72"/>
      <c r="Z707" s="72"/>
    </row>
    <row r="708" ht="15.75" customHeight="1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3"/>
      <c r="T708" s="72"/>
      <c r="U708" s="72"/>
      <c r="V708" s="72"/>
      <c r="W708" s="72"/>
      <c r="X708" s="72"/>
      <c r="Y708" s="72"/>
      <c r="Z708" s="72"/>
    </row>
    <row r="709" ht="15.75" customHeight="1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3"/>
      <c r="T709" s="72"/>
      <c r="U709" s="72"/>
      <c r="V709" s="72"/>
      <c r="W709" s="72"/>
      <c r="X709" s="72"/>
      <c r="Y709" s="72"/>
      <c r="Z709" s="72"/>
    </row>
    <row r="710" ht="15.75" customHeight="1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3"/>
      <c r="T710" s="72"/>
      <c r="U710" s="72"/>
      <c r="V710" s="72"/>
      <c r="W710" s="72"/>
      <c r="X710" s="72"/>
      <c r="Y710" s="72"/>
      <c r="Z710" s="72"/>
    </row>
    <row r="711" ht="15.75" customHeight="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3"/>
      <c r="T711" s="72"/>
      <c r="U711" s="72"/>
      <c r="V711" s="72"/>
      <c r="W711" s="72"/>
      <c r="X711" s="72"/>
      <c r="Y711" s="72"/>
      <c r="Z711" s="72"/>
    </row>
    <row r="712" ht="15.75" customHeight="1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3"/>
      <c r="T712" s="72"/>
      <c r="U712" s="72"/>
      <c r="V712" s="72"/>
      <c r="W712" s="72"/>
      <c r="X712" s="72"/>
      <c r="Y712" s="72"/>
      <c r="Z712" s="72"/>
    </row>
    <row r="713" ht="15.75" customHeight="1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3"/>
      <c r="T713" s="72"/>
      <c r="U713" s="72"/>
      <c r="V713" s="72"/>
      <c r="W713" s="72"/>
      <c r="X713" s="72"/>
      <c r="Y713" s="72"/>
      <c r="Z713" s="72"/>
    </row>
    <row r="714" ht="15.75" customHeight="1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3"/>
      <c r="T714" s="72"/>
      <c r="U714" s="72"/>
      <c r="V714" s="72"/>
      <c r="W714" s="72"/>
      <c r="X714" s="72"/>
      <c r="Y714" s="72"/>
      <c r="Z714" s="72"/>
    </row>
    <row r="715" ht="15.75" customHeight="1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3"/>
      <c r="T715" s="72"/>
      <c r="U715" s="72"/>
      <c r="V715" s="72"/>
      <c r="W715" s="72"/>
      <c r="X715" s="72"/>
      <c r="Y715" s="72"/>
      <c r="Z715" s="72"/>
    </row>
    <row r="716" ht="15.75" customHeight="1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3"/>
      <c r="T716" s="72"/>
      <c r="U716" s="72"/>
      <c r="V716" s="72"/>
      <c r="W716" s="72"/>
      <c r="X716" s="72"/>
      <c r="Y716" s="72"/>
      <c r="Z716" s="72"/>
    </row>
    <row r="717" ht="15.75" customHeight="1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3"/>
      <c r="T717" s="72"/>
      <c r="U717" s="72"/>
      <c r="V717" s="72"/>
      <c r="W717" s="72"/>
      <c r="X717" s="72"/>
      <c r="Y717" s="72"/>
      <c r="Z717" s="72"/>
    </row>
    <row r="718" ht="15.75" customHeight="1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3"/>
      <c r="T718" s="72"/>
      <c r="U718" s="72"/>
      <c r="V718" s="72"/>
      <c r="W718" s="72"/>
      <c r="X718" s="72"/>
      <c r="Y718" s="72"/>
      <c r="Z718" s="72"/>
    </row>
    <row r="719" ht="15.75" customHeight="1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3"/>
      <c r="T719" s="72"/>
      <c r="U719" s="72"/>
      <c r="V719" s="72"/>
      <c r="W719" s="72"/>
      <c r="X719" s="72"/>
      <c r="Y719" s="72"/>
      <c r="Z719" s="72"/>
    </row>
    <row r="720" ht="15.75" customHeight="1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3"/>
      <c r="T720" s="72"/>
      <c r="U720" s="72"/>
      <c r="V720" s="72"/>
      <c r="W720" s="72"/>
      <c r="X720" s="72"/>
      <c r="Y720" s="72"/>
      <c r="Z720" s="72"/>
    </row>
    <row r="721" ht="15.75" customHeight="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3"/>
      <c r="T721" s="72"/>
      <c r="U721" s="72"/>
      <c r="V721" s="72"/>
      <c r="W721" s="72"/>
      <c r="X721" s="72"/>
      <c r="Y721" s="72"/>
      <c r="Z721" s="72"/>
    </row>
    <row r="722" ht="15.75" customHeight="1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3"/>
      <c r="T722" s="72"/>
      <c r="U722" s="72"/>
      <c r="V722" s="72"/>
      <c r="W722" s="72"/>
      <c r="X722" s="72"/>
      <c r="Y722" s="72"/>
      <c r="Z722" s="72"/>
    </row>
    <row r="723" ht="15.75" customHeight="1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3"/>
      <c r="T723" s="72"/>
      <c r="U723" s="72"/>
      <c r="V723" s="72"/>
      <c r="W723" s="72"/>
      <c r="X723" s="72"/>
      <c r="Y723" s="72"/>
      <c r="Z723" s="72"/>
    </row>
    <row r="724" ht="15.75" customHeight="1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3"/>
      <c r="T724" s="72"/>
      <c r="U724" s="72"/>
      <c r="V724" s="72"/>
      <c r="W724" s="72"/>
      <c r="X724" s="72"/>
      <c r="Y724" s="72"/>
      <c r="Z724" s="72"/>
    </row>
    <row r="725" ht="15.75" customHeight="1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3"/>
      <c r="T725" s="72"/>
      <c r="U725" s="72"/>
      <c r="V725" s="72"/>
      <c r="W725" s="72"/>
      <c r="X725" s="72"/>
      <c r="Y725" s="72"/>
      <c r="Z725" s="72"/>
    </row>
    <row r="726" ht="15.75" customHeight="1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3"/>
      <c r="T726" s="72"/>
      <c r="U726" s="72"/>
      <c r="V726" s="72"/>
      <c r="W726" s="72"/>
      <c r="X726" s="72"/>
      <c r="Y726" s="72"/>
      <c r="Z726" s="72"/>
    </row>
    <row r="727" ht="15.75" customHeight="1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3"/>
      <c r="T727" s="72"/>
      <c r="U727" s="72"/>
      <c r="V727" s="72"/>
      <c r="W727" s="72"/>
      <c r="X727" s="72"/>
      <c r="Y727" s="72"/>
      <c r="Z727" s="72"/>
    </row>
    <row r="728" ht="15.75" customHeight="1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3"/>
      <c r="T728" s="72"/>
      <c r="U728" s="72"/>
      <c r="V728" s="72"/>
      <c r="W728" s="72"/>
      <c r="X728" s="72"/>
      <c r="Y728" s="72"/>
      <c r="Z728" s="72"/>
    </row>
    <row r="729" ht="15.75" customHeight="1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3"/>
      <c r="T729" s="72"/>
      <c r="U729" s="72"/>
      <c r="V729" s="72"/>
      <c r="W729" s="72"/>
      <c r="X729" s="72"/>
      <c r="Y729" s="72"/>
      <c r="Z729" s="72"/>
    </row>
    <row r="730" ht="15.75" customHeight="1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3"/>
      <c r="T730" s="72"/>
      <c r="U730" s="72"/>
      <c r="V730" s="72"/>
      <c r="W730" s="72"/>
      <c r="X730" s="72"/>
      <c r="Y730" s="72"/>
      <c r="Z730" s="72"/>
    </row>
    <row r="731" ht="15.75" customHeight="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3"/>
      <c r="T731" s="72"/>
      <c r="U731" s="72"/>
      <c r="V731" s="72"/>
      <c r="W731" s="72"/>
      <c r="X731" s="72"/>
      <c r="Y731" s="72"/>
      <c r="Z731" s="72"/>
    </row>
    <row r="732" ht="15.75" customHeight="1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3"/>
      <c r="T732" s="72"/>
      <c r="U732" s="72"/>
      <c r="V732" s="72"/>
      <c r="W732" s="72"/>
      <c r="X732" s="72"/>
      <c r="Y732" s="72"/>
      <c r="Z732" s="72"/>
    </row>
    <row r="733" ht="15.75" customHeight="1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3"/>
      <c r="T733" s="72"/>
      <c r="U733" s="72"/>
      <c r="V733" s="72"/>
      <c r="W733" s="72"/>
      <c r="X733" s="72"/>
      <c r="Y733" s="72"/>
      <c r="Z733" s="72"/>
    </row>
    <row r="734" ht="15.75" customHeight="1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3"/>
      <c r="T734" s="72"/>
      <c r="U734" s="72"/>
      <c r="V734" s="72"/>
      <c r="W734" s="72"/>
      <c r="X734" s="72"/>
      <c r="Y734" s="72"/>
      <c r="Z734" s="72"/>
    </row>
    <row r="735" ht="15.75" customHeight="1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3"/>
      <c r="T735" s="72"/>
      <c r="U735" s="72"/>
      <c r="V735" s="72"/>
      <c r="W735" s="72"/>
      <c r="X735" s="72"/>
      <c r="Y735" s="72"/>
      <c r="Z735" s="72"/>
    </row>
    <row r="736" ht="15.75" customHeight="1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3"/>
      <c r="T736" s="72"/>
      <c r="U736" s="72"/>
      <c r="V736" s="72"/>
      <c r="W736" s="72"/>
      <c r="X736" s="72"/>
      <c r="Y736" s="72"/>
      <c r="Z736" s="72"/>
    </row>
    <row r="737" ht="15.75" customHeight="1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3"/>
      <c r="T737" s="72"/>
      <c r="U737" s="72"/>
      <c r="V737" s="72"/>
      <c r="W737" s="72"/>
      <c r="X737" s="72"/>
      <c r="Y737" s="72"/>
      <c r="Z737" s="72"/>
    </row>
    <row r="738" ht="15.75" customHeight="1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3"/>
      <c r="T738" s="72"/>
      <c r="U738" s="72"/>
      <c r="V738" s="72"/>
      <c r="W738" s="72"/>
      <c r="X738" s="72"/>
      <c r="Y738" s="72"/>
      <c r="Z738" s="72"/>
    </row>
    <row r="739" ht="15.75" customHeight="1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3"/>
      <c r="T739" s="72"/>
      <c r="U739" s="72"/>
      <c r="V739" s="72"/>
      <c r="W739" s="72"/>
      <c r="X739" s="72"/>
      <c r="Y739" s="72"/>
      <c r="Z739" s="72"/>
    </row>
    <row r="740" ht="15.75" customHeight="1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3"/>
      <c r="T740" s="72"/>
      <c r="U740" s="72"/>
      <c r="V740" s="72"/>
      <c r="W740" s="72"/>
      <c r="X740" s="72"/>
      <c r="Y740" s="72"/>
      <c r="Z740" s="72"/>
    </row>
    <row r="741" ht="15.75" customHeight="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3"/>
      <c r="T741" s="72"/>
      <c r="U741" s="72"/>
      <c r="V741" s="72"/>
      <c r="W741" s="72"/>
      <c r="X741" s="72"/>
      <c r="Y741" s="72"/>
      <c r="Z741" s="72"/>
    </row>
    <row r="742" ht="15.75" customHeight="1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3"/>
      <c r="T742" s="72"/>
      <c r="U742" s="72"/>
      <c r="V742" s="72"/>
      <c r="W742" s="72"/>
      <c r="X742" s="72"/>
      <c r="Y742" s="72"/>
      <c r="Z742" s="72"/>
    </row>
    <row r="743" ht="15.75" customHeight="1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3"/>
      <c r="T743" s="72"/>
      <c r="U743" s="72"/>
      <c r="V743" s="72"/>
      <c r="W743" s="72"/>
      <c r="X743" s="72"/>
      <c r="Y743" s="72"/>
      <c r="Z743" s="72"/>
    </row>
    <row r="744" ht="15.75" customHeight="1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3"/>
      <c r="T744" s="72"/>
      <c r="U744" s="72"/>
      <c r="V744" s="72"/>
      <c r="W744" s="72"/>
      <c r="X744" s="72"/>
      <c r="Y744" s="72"/>
      <c r="Z744" s="72"/>
    </row>
    <row r="745" ht="15.75" customHeight="1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3"/>
      <c r="T745" s="72"/>
      <c r="U745" s="72"/>
      <c r="V745" s="72"/>
      <c r="W745" s="72"/>
      <c r="X745" s="72"/>
      <c r="Y745" s="72"/>
      <c r="Z745" s="72"/>
    </row>
    <row r="746" ht="15.75" customHeight="1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3"/>
      <c r="T746" s="72"/>
      <c r="U746" s="72"/>
      <c r="V746" s="72"/>
      <c r="W746" s="72"/>
      <c r="X746" s="72"/>
      <c r="Y746" s="72"/>
      <c r="Z746" s="72"/>
    </row>
    <row r="747" ht="15.75" customHeight="1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3"/>
      <c r="T747" s="72"/>
      <c r="U747" s="72"/>
      <c r="V747" s="72"/>
      <c r="W747" s="72"/>
      <c r="X747" s="72"/>
      <c r="Y747" s="72"/>
      <c r="Z747" s="72"/>
    </row>
    <row r="748" ht="15.75" customHeight="1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3"/>
      <c r="T748" s="72"/>
      <c r="U748" s="72"/>
      <c r="V748" s="72"/>
      <c r="W748" s="72"/>
      <c r="X748" s="72"/>
      <c r="Y748" s="72"/>
      <c r="Z748" s="72"/>
    </row>
    <row r="749" ht="15.75" customHeight="1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3"/>
      <c r="T749" s="72"/>
      <c r="U749" s="72"/>
      <c r="V749" s="72"/>
      <c r="W749" s="72"/>
      <c r="X749" s="72"/>
      <c r="Y749" s="72"/>
      <c r="Z749" s="72"/>
    </row>
    <row r="750" ht="15.75" customHeight="1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3"/>
      <c r="T750" s="72"/>
      <c r="U750" s="72"/>
      <c r="V750" s="72"/>
      <c r="W750" s="72"/>
      <c r="X750" s="72"/>
      <c r="Y750" s="72"/>
      <c r="Z750" s="72"/>
    </row>
    <row r="751" ht="15.75" customHeight="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3"/>
      <c r="T751" s="72"/>
      <c r="U751" s="72"/>
      <c r="V751" s="72"/>
      <c r="W751" s="72"/>
      <c r="X751" s="72"/>
      <c r="Y751" s="72"/>
      <c r="Z751" s="72"/>
    </row>
    <row r="752" ht="15.75" customHeight="1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3"/>
      <c r="T752" s="72"/>
      <c r="U752" s="72"/>
      <c r="V752" s="72"/>
      <c r="W752" s="72"/>
      <c r="X752" s="72"/>
      <c r="Y752" s="72"/>
      <c r="Z752" s="72"/>
    </row>
    <row r="753" ht="15.75" customHeight="1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3"/>
      <c r="T753" s="72"/>
      <c r="U753" s="72"/>
      <c r="V753" s="72"/>
      <c r="W753" s="72"/>
      <c r="X753" s="72"/>
      <c r="Y753" s="72"/>
      <c r="Z753" s="72"/>
    </row>
    <row r="754" ht="15.75" customHeight="1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3"/>
      <c r="T754" s="72"/>
      <c r="U754" s="72"/>
      <c r="V754" s="72"/>
      <c r="W754" s="72"/>
      <c r="X754" s="72"/>
      <c r="Y754" s="72"/>
      <c r="Z754" s="72"/>
    </row>
    <row r="755" ht="15.75" customHeight="1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3"/>
      <c r="T755" s="72"/>
      <c r="U755" s="72"/>
      <c r="V755" s="72"/>
      <c r="W755" s="72"/>
      <c r="X755" s="72"/>
      <c r="Y755" s="72"/>
      <c r="Z755" s="72"/>
    </row>
    <row r="756" ht="15.75" customHeight="1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3"/>
      <c r="T756" s="72"/>
      <c r="U756" s="72"/>
      <c r="V756" s="72"/>
      <c r="W756" s="72"/>
      <c r="X756" s="72"/>
      <c r="Y756" s="72"/>
      <c r="Z756" s="72"/>
    </row>
    <row r="757" ht="15.75" customHeight="1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3"/>
      <c r="T757" s="72"/>
      <c r="U757" s="72"/>
      <c r="V757" s="72"/>
      <c r="W757" s="72"/>
      <c r="X757" s="72"/>
      <c r="Y757" s="72"/>
      <c r="Z757" s="72"/>
    </row>
    <row r="758" ht="15.75" customHeight="1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3"/>
      <c r="T758" s="72"/>
      <c r="U758" s="72"/>
      <c r="V758" s="72"/>
      <c r="W758" s="72"/>
      <c r="X758" s="72"/>
      <c r="Y758" s="72"/>
      <c r="Z758" s="72"/>
    </row>
    <row r="759" ht="15.75" customHeight="1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3"/>
      <c r="T759" s="72"/>
      <c r="U759" s="72"/>
      <c r="V759" s="72"/>
      <c r="W759" s="72"/>
      <c r="X759" s="72"/>
      <c r="Y759" s="72"/>
      <c r="Z759" s="72"/>
    </row>
    <row r="760" ht="15.75" customHeight="1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3"/>
      <c r="T760" s="72"/>
      <c r="U760" s="72"/>
      <c r="V760" s="72"/>
      <c r="W760" s="72"/>
      <c r="X760" s="72"/>
      <c r="Y760" s="72"/>
      <c r="Z760" s="72"/>
    </row>
    <row r="761" ht="15.75" customHeight="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3"/>
      <c r="T761" s="72"/>
      <c r="U761" s="72"/>
      <c r="V761" s="72"/>
      <c r="W761" s="72"/>
      <c r="X761" s="72"/>
      <c r="Y761" s="72"/>
      <c r="Z761" s="72"/>
    </row>
    <row r="762" ht="15.75" customHeight="1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3"/>
      <c r="T762" s="72"/>
      <c r="U762" s="72"/>
      <c r="V762" s="72"/>
      <c r="W762" s="72"/>
      <c r="X762" s="72"/>
      <c r="Y762" s="72"/>
      <c r="Z762" s="72"/>
    </row>
    <row r="763" ht="15.75" customHeight="1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3"/>
      <c r="T763" s="72"/>
      <c r="U763" s="72"/>
      <c r="V763" s="72"/>
      <c r="W763" s="72"/>
      <c r="X763" s="72"/>
      <c r="Y763" s="72"/>
      <c r="Z763" s="72"/>
    </row>
    <row r="764" ht="15.75" customHeight="1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3"/>
      <c r="T764" s="72"/>
      <c r="U764" s="72"/>
      <c r="V764" s="72"/>
      <c r="W764" s="72"/>
      <c r="X764" s="72"/>
      <c r="Y764" s="72"/>
      <c r="Z764" s="72"/>
    </row>
    <row r="765" ht="15.75" customHeight="1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3"/>
      <c r="T765" s="72"/>
      <c r="U765" s="72"/>
      <c r="V765" s="72"/>
      <c r="W765" s="72"/>
      <c r="X765" s="72"/>
      <c r="Y765" s="72"/>
      <c r="Z765" s="72"/>
    </row>
    <row r="766" ht="15.75" customHeight="1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3"/>
      <c r="T766" s="72"/>
      <c r="U766" s="72"/>
      <c r="V766" s="72"/>
      <c r="W766" s="72"/>
      <c r="X766" s="72"/>
      <c r="Y766" s="72"/>
      <c r="Z766" s="72"/>
    </row>
    <row r="767" ht="15.75" customHeight="1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3"/>
      <c r="T767" s="72"/>
      <c r="U767" s="72"/>
      <c r="V767" s="72"/>
      <c r="W767" s="72"/>
      <c r="X767" s="72"/>
      <c r="Y767" s="72"/>
      <c r="Z767" s="72"/>
    </row>
    <row r="768" ht="15.75" customHeight="1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3"/>
      <c r="T768" s="72"/>
      <c r="U768" s="72"/>
      <c r="V768" s="72"/>
      <c r="W768" s="72"/>
      <c r="X768" s="72"/>
      <c r="Y768" s="72"/>
      <c r="Z768" s="72"/>
    </row>
    <row r="769" ht="15.75" customHeight="1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3"/>
      <c r="T769" s="72"/>
      <c r="U769" s="72"/>
      <c r="V769" s="72"/>
      <c r="W769" s="72"/>
      <c r="X769" s="72"/>
      <c r="Y769" s="72"/>
      <c r="Z769" s="72"/>
    </row>
    <row r="770" ht="15.75" customHeight="1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3"/>
      <c r="T770" s="72"/>
      <c r="U770" s="72"/>
      <c r="V770" s="72"/>
      <c r="W770" s="72"/>
      <c r="X770" s="72"/>
      <c r="Y770" s="72"/>
      <c r="Z770" s="72"/>
    </row>
    <row r="771" ht="15.75" customHeight="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3"/>
      <c r="T771" s="72"/>
      <c r="U771" s="72"/>
      <c r="V771" s="72"/>
      <c r="W771" s="72"/>
      <c r="X771" s="72"/>
      <c r="Y771" s="72"/>
      <c r="Z771" s="72"/>
    </row>
    <row r="772" ht="15.75" customHeight="1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3"/>
      <c r="T772" s="72"/>
      <c r="U772" s="72"/>
      <c r="V772" s="72"/>
      <c r="W772" s="72"/>
      <c r="X772" s="72"/>
      <c r="Y772" s="72"/>
      <c r="Z772" s="72"/>
    </row>
    <row r="773" ht="15.75" customHeight="1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3"/>
      <c r="T773" s="72"/>
      <c r="U773" s="72"/>
      <c r="V773" s="72"/>
      <c r="W773" s="72"/>
      <c r="X773" s="72"/>
      <c r="Y773" s="72"/>
      <c r="Z773" s="72"/>
    </row>
    <row r="774" ht="15.75" customHeight="1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3"/>
      <c r="T774" s="72"/>
      <c r="U774" s="72"/>
      <c r="V774" s="72"/>
      <c r="W774" s="72"/>
      <c r="X774" s="72"/>
      <c r="Y774" s="72"/>
      <c r="Z774" s="72"/>
    </row>
    <row r="775" ht="15.75" customHeight="1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3"/>
      <c r="T775" s="72"/>
      <c r="U775" s="72"/>
      <c r="V775" s="72"/>
      <c r="W775" s="72"/>
      <c r="X775" s="72"/>
      <c r="Y775" s="72"/>
      <c r="Z775" s="72"/>
    </row>
    <row r="776" ht="15.75" customHeight="1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3"/>
      <c r="T776" s="72"/>
      <c r="U776" s="72"/>
      <c r="V776" s="72"/>
      <c r="W776" s="72"/>
      <c r="X776" s="72"/>
      <c r="Y776" s="72"/>
      <c r="Z776" s="72"/>
    </row>
    <row r="777" ht="15.75" customHeight="1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3"/>
      <c r="T777" s="72"/>
      <c r="U777" s="72"/>
      <c r="V777" s="72"/>
      <c r="W777" s="72"/>
      <c r="X777" s="72"/>
      <c r="Y777" s="72"/>
      <c r="Z777" s="72"/>
    </row>
    <row r="778" ht="15.75" customHeight="1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3"/>
      <c r="T778" s="72"/>
      <c r="U778" s="72"/>
      <c r="V778" s="72"/>
      <c r="W778" s="72"/>
      <c r="X778" s="72"/>
      <c r="Y778" s="72"/>
      <c r="Z778" s="72"/>
    </row>
    <row r="779" ht="15.75" customHeight="1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3"/>
      <c r="T779" s="72"/>
      <c r="U779" s="72"/>
      <c r="V779" s="72"/>
      <c r="W779" s="72"/>
      <c r="X779" s="72"/>
      <c r="Y779" s="72"/>
      <c r="Z779" s="72"/>
    </row>
    <row r="780" ht="15.75" customHeight="1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3"/>
      <c r="T780" s="72"/>
      <c r="U780" s="72"/>
      <c r="V780" s="72"/>
      <c r="W780" s="72"/>
      <c r="X780" s="72"/>
      <c r="Y780" s="72"/>
      <c r="Z780" s="72"/>
    </row>
    <row r="781" ht="15.75" customHeight="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3"/>
      <c r="T781" s="72"/>
      <c r="U781" s="72"/>
      <c r="V781" s="72"/>
      <c r="W781" s="72"/>
      <c r="X781" s="72"/>
      <c r="Y781" s="72"/>
      <c r="Z781" s="72"/>
    </row>
    <row r="782" ht="15.75" customHeight="1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3"/>
      <c r="T782" s="72"/>
      <c r="U782" s="72"/>
      <c r="V782" s="72"/>
      <c r="W782" s="72"/>
      <c r="X782" s="72"/>
      <c r="Y782" s="72"/>
      <c r="Z782" s="72"/>
    </row>
    <row r="783" ht="15.75" customHeight="1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3"/>
      <c r="T783" s="72"/>
      <c r="U783" s="72"/>
      <c r="V783" s="72"/>
      <c r="W783" s="72"/>
      <c r="X783" s="72"/>
      <c r="Y783" s="72"/>
      <c r="Z783" s="72"/>
    </row>
    <row r="784" ht="15.75" customHeight="1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3"/>
      <c r="T784" s="72"/>
      <c r="U784" s="72"/>
      <c r="V784" s="72"/>
      <c r="W784" s="72"/>
      <c r="X784" s="72"/>
      <c r="Y784" s="72"/>
      <c r="Z784" s="72"/>
    </row>
    <row r="785" ht="15.75" customHeight="1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3"/>
      <c r="T785" s="72"/>
      <c r="U785" s="72"/>
      <c r="V785" s="72"/>
      <c r="W785" s="72"/>
      <c r="X785" s="72"/>
      <c r="Y785" s="72"/>
      <c r="Z785" s="72"/>
    </row>
    <row r="786" ht="15.75" customHeight="1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3"/>
      <c r="T786" s="72"/>
      <c r="U786" s="72"/>
      <c r="V786" s="72"/>
      <c r="W786" s="72"/>
      <c r="X786" s="72"/>
      <c r="Y786" s="72"/>
      <c r="Z786" s="72"/>
    </row>
    <row r="787" ht="15.75" customHeight="1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3"/>
      <c r="T787" s="72"/>
      <c r="U787" s="72"/>
      <c r="V787" s="72"/>
      <c r="W787" s="72"/>
      <c r="X787" s="72"/>
      <c r="Y787" s="72"/>
      <c r="Z787" s="72"/>
    </row>
    <row r="788" ht="15.75" customHeight="1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3"/>
      <c r="T788" s="72"/>
      <c r="U788" s="72"/>
      <c r="V788" s="72"/>
      <c r="W788" s="72"/>
      <c r="X788" s="72"/>
      <c r="Y788" s="72"/>
      <c r="Z788" s="72"/>
    </row>
    <row r="789" ht="15.75" customHeight="1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3"/>
      <c r="T789" s="72"/>
      <c r="U789" s="72"/>
      <c r="V789" s="72"/>
      <c r="W789" s="72"/>
      <c r="X789" s="72"/>
      <c r="Y789" s="72"/>
      <c r="Z789" s="72"/>
    </row>
    <row r="790" ht="15.75" customHeight="1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3"/>
      <c r="T790" s="72"/>
      <c r="U790" s="72"/>
      <c r="V790" s="72"/>
      <c r="W790" s="72"/>
      <c r="X790" s="72"/>
      <c r="Y790" s="72"/>
      <c r="Z790" s="72"/>
    </row>
    <row r="791" ht="15.75" customHeight="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3"/>
      <c r="T791" s="72"/>
      <c r="U791" s="72"/>
      <c r="V791" s="72"/>
      <c r="W791" s="72"/>
      <c r="X791" s="72"/>
      <c r="Y791" s="72"/>
      <c r="Z791" s="72"/>
    </row>
    <row r="792" ht="15.75" customHeight="1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3"/>
      <c r="T792" s="72"/>
      <c r="U792" s="72"/>
      <c r="V792" s="72"/>
      <c r="W792" s="72"/>
      <c r="X792" s="72"/>
      <c r="Y792" s="72"/>
      <c r="Z792" s="72"/>
    </row>
    <row r="793" ht="15.75" customHeight="1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3"/>
      <c r="T793" s="72"/>
      <c r="U793" s="72"/>
      <c r="V793" s="72"/>
      <c r="W793" s="72"/>
      <c r="X793" s="72"/>
      <c r="Y793" s="72"/>
      <c r="Z793" s="72"/>
    </row>
    <row r="794" ht="15.75" customHeight="1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3"/>
      <c r="T794" s="72"/>
      <c r="U794" s="72"/>
      <c r="V794" s="72"/>
      <c r="W794" s="72"/>
      <c r="X794" s="72"/>
      <c r="Y794" s="72"/>
      <c r="Z794" s="72"/>
    </row>
    <row r="795" ht="15.75" customHeight="1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3"/>
      <c r="T795" s="72"/>
      <c r="U795" s="72"/>
      <c r="V795" s="72"/>
      <c r="W795" s="72"/>
      <c r="X795" s="72"/>
      <c r="Y795" s="72"/>
      <c r="Z795" s="72"/>
    </row>
    <row r="796" ht="15.75" customHeight="1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3"/>
      <c r="T796" s="72"/>
      <c r="U796" s="72"/>
      <c r="V796" s="72"/>
      <c r="W796" s="72"/>
      <c r="X796" s="72"/>
      <c r="Y796" s="72"/>
      <c r="Z796" s="72"/>
    </row>
    <row r="797" ht="15.75" customHeight="1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3"/>
      <c r="T797" s="72"/>
      <c r="U797" s="72"/>
      <c r="V797" s="72"/>
      <c r="W797" s="72"/>
      <c r="X797" s="72"/>
      <c r="Y797" s="72"/>
      <c r="Z797" s="72"/>
    </row>
    <row r="798" ht="15.75" customHeight="1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3"/>
      <c r="T798" s="72"/>
      <c r="U798" s="72"/>
      <c r="V798" s="72"/>
      <c r="W798" s="72"/>
      <c r="X798" s="72"/>
      <c r="Y798" s="72"/>
      <c r="Z798" s="72"/>
    </row>
    <row r="799" ht="15.75" customHeight="1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3"/>
      <c r="T799" s="72"/>
      <c r="U799" s="72"/>
      <c r="V799" s="72"/>
      <c r="W799" s="72"/>
      <c r="X799" s="72"/>
      <c r="Y799" s="72"/>
      <c r="Z799" s="72"/>
    </row>
    <row r="800" ht="15.75" customHeight="1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3"/>
      <c r="T800" s="72"/>
      <c r="U800" s="72"/>
      <c r="V800" s="72"/>
      <c r="W800" s="72"/>
      <c r="X800" s="72"/>
      <c r="Y800" s="72"/>
      <c r="Z800" s="72"/>
    </row>
    <row r="801" ht="15.75" customHeight="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3"/>
      <c r="T801" s="72"/>
      <c r="U801" s="72"/>
      <c r="V801" s="72"/>
      <c r="W801" s="72"/>
      <c r="X801" s="72"/>
      <c r="Y801" s="72"/>
      <c r="Z801" s="72"/>
    </row>
    <row r="802" ht="15.75" customHeight="1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3"/>
      <c r="T802" s="72"/>
      <c r="U802" s="72"/>
      <c r="V802" s="72"/>
      <c r="W802" s="72"/>
      <c r="X802" s="72"/>
      <c r="Y802" s="72"/>
      <c r="Z802" s="72"/>
    </row>
    <row r="803" ht="15.75" customHeight="1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3"/>
      <c r="T803" s="72"/>
      <c r="U803" s="72"/>
      <c r="V803" s="72"/>
      <c r="W803" s="72"/>
      <c r="X803" s="72"/>
      <c r="Y803" s="72"/>
      <c r="Z803" s="72"/>
    </row>
    <row r="804" ht="15.75" customHeight="1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3"/>
      <c r="T804" s="72"/>
      <c r="U804" s="72"/>
      <c r="V804" s="72"/>
      <c r="W804" s="72"/>
      <c r="X804" s="72"/>
      <c r="Y804" s="72"/>
      <c r="Z804" s="72"/>
    </row>
    <row r="805" ht="15.75" customHeight="1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3"/>
      <c r="T805" s="72"/>
      <c r="U805" s="72"/>
      <c r="V805" s="72"/>
      <c r="W805" s="72"/>
      <c r="X805" s="72"/>
      <c r="Y805" s="72"/>
      <c r="Z805" s="72"/>
    </row>
    <row r="806" ht="15.75" customHeight="1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3"/>
      <c r="T806" s="72"/>
      <c r="U806" s="72"/>
      <c r="V806" s="72"/>
      <c r="W806" s="72"/>
      <c r="X806" s="72"/>
      <c r="Y806" s="72"/>
      <c r="Z806" s="72"/>
    </row>
    <row r="807" ht="15.75" customHeight="1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3"/>
      <c r="T807" s="72"/>
      <c r="U807" s="72"/>
      <c r="V807" s="72"/>
      <c r="W807" s="72"/>
      <c r="X807" s="72"/>
      <c r="Y807" s="72"/>
      <c r="Z807" s="72"/>
    </row>
    <row r="808" ht="15.75" customHeight="1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3"/>
      <c r="T808" s="72"/>
      <c r="U808" s="72"/>
      <c r="V808" s="72"/>
      <c r="W808" s="72"/>
      <c r="X808" s="72"/>
      <c r="Y808" s="72"/>
      <c r="Z808" s="72"/>
    </row>
    <row r="809" ht="15.75" customHeight="1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3"/>
      <c r="T809" s="72"/>
      <c r="U809" s="72"/>
      <c r="V809" s="72"/>
      <c r="W809" s="72"/>
      <c r="X809" s="72"/>
      <c r="Y809" s="72"/>
      <c r="Z809" s="72"/>
    </row>
    <row r="810" ht="15.75" customHeight="1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3"/>
      <c r="T810" s="72"/>
      <c r="U810" s="72"/>
      <c r="V810" s="72"/>
      <c r="W810" s="72"/>
      <c r="X810" s="72"/>
      <c r="Y810" s="72"/>
      <c r="Z810" s="72"/>
    </row>
    <row r="811" ht="15.75" customHeight="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3"/>
      <c r="T811" s="72"/>
      <c r="U811" s="72"/>
      <c r="V811" s="72"/>
      <c r="W811" s="72"/>
      <c r="X811" s="72"/>
      <c r="Y811" s="72"/>
      <c r="Z811" s="72"/>
    </row>
    <row r="812" ht="15.75" customHeight="1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3"/>
      <c r="T812" s="72"/>
      <c r="U812" s="72"/>
      <c r="V812" s="72"/>
      <c r="W812" s="72"/>
      <c r="X812" s="72"/>
      <c r="Y812" s="72"/>
      <c r="Z812" s="72"/>
    </row>
    <row r="813" ht="15.75" customHeight="1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3"/>
      <c r="T813" s="72"/>
      <c r="U813" s="72"/>
      <c r="V813" s="72"/>
      <c r="W813" s="72"/>
      <c r="X813" s="72"/>
      <c r="Y813" s="72"/>
      <c r="Z813" s="72"/>
    </row>
    <row r="814" ht="15.75" customHeight="1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3"/>
      <c r="T814" s="72"/>
      <c r="U814" s="72"/>
      <c r="V814" s="72"/>
      <c r="W814" s="72"/>
      <c r="X814" s="72"/>
      <c r="Y814" s="72"/>
      <c r="Z814" s="72"/>
    </row>
    <row r="815" ht="15.75" customHeight="1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3"/>
      <c r="T815" s="72"/>
      <c r="U815" s="72"/>
      <c r="V815" s="72"/>
      <c r="W815" s="72"/>
      <c r="X815" s="72"/>
      <c r="Y815" s="72"/>
      <c r="Z815" s="72"/>
    </row>
    <row r="816" ht="15.75" customHeight="1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3"/>
      <c r="T816" s="72"/>
      <c r="U816" s="72"/>
      <c r="V816" s="72"/>
      <c r="W816" s="72"/>
      <c r="X816" s="72"/>
      <c r="Y816" s="72"/>
      <c r="Z816" s="72"/>
    </row>
    <row r="817" ht="15.75" customHeight="1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3"/>
      <c r="T817" s="72"/>
      <c r="U817" s="72"/>
      <c r="V817" s="72"/>
      <c r="W817" s="72"/>
      <c r="X817" s="72"/>
      <c r="Y817" s="72"/>
      <c r="Z817" s="72"/>
    </row>
    <row r="818" ht="15.75" customHeight="1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3"/>
      <c r="T818" s="72"/>
      <c r="U818" s="72"/>
      <c r="V818" s="72"/>
      <c r="W818" s="72"/>
      <c r="X818" s="72"/>
      <c r="Y818" s="72"/>
      <c r="Z818" s="72"/>
    </row>
    <row r="819" ht="15.75" customHeight="1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3"/>
      <c r="T819" s="72"/>
      <c r="U819" s="72"/>
      <c r="V819" s="72"/>
      <c r="W819" s="72"/>
      <c r="X819" s="72"/>
      <c r="Y819" s="72"/>
      <c r="Z819" s="72"/>
    </row>
    <row r="820" ht="15.75" customHeight="1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3"/>
      <c r="T820" s="72"/>
      <c r="U820" s="72"/>
      <c r="V820" s="72"/>
      <c r="W820" s="72"/>
      <c r="X820" s="72"/>
      <c r="Y820" s="72"/>
      <c r="Z820" s="72"/>
    </row>
    <row r="821" ht="15.75" customHeight="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3"/>
      <c r="T821" s="72"/>
      <c r="U821" s="72"/>
      <c r="V821" s="72"/>
      <c r="W821" s="72"/>
      <c r="X821" s="72"/>
      <c r="Y821" s="72"/>
      <c r="Z821" s="72"/>
    </row>
    <row r="822" ht="15.75" customHeight="1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3"/>
      <c r="T822" s="72"/>
      <c r="U822" s="72"/>
      <c r="V822" s="72"/>
      <c r="W822" s="72"/>
      <c r="X822" s="72"/>
      <c r="Y822" s="72"/>
      <c r="Z822" s="72"/>
    </row>
    <row r="823" ht="15.75" customHeight="1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3"/>
      <c r="T823" s="72"/>
      <c r="U823" s="72"/>
      <c r="V823" s="72"/>
      <c r="W823" s="72"/>
      <c r="X823" s="72"/>
      <c r="Y823" s="72"/>
      <c r="Z823" s="72"/>
    </row>
    <row r="824" ht="15.75" customHeight="1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3"/>
      <c r="T824" s="72"/>
      <c r="U824" s="72"/>
      <c r="V824" s="72"/>
      <c r="W824" s="72"/>
      <c r="X824" s="72"/>
      <c r="Y824" s="72"/>
      <c r="Z824" s="72"/>
    </row>
    <row r="825" ht="15.75" customHeight="1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3"/>
      <c r="T825" s="72"/>
      <c r="U825" s="72"/>
      <c r="V825" s="72"/>
      <c r="W825" s="72"/>
      <c r="X825" s="72"/>
      <c r="Y825" s="72"/>
      <c r="Z825" s="72"/>
    </row>
    <row r="826" ht="15.75" customHeight="1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3"/>
      <c r="T826" s="72"/>
      <c r="U826" s="72"/>
      <c r="V826" s="72"/>
      <c r="W826" s="72"/>
      <c r="X826" s="72"/>
      <c r="Y826" s="72"/>
      <c r="Z826" s="72"/>
    </row>
    <row r="827" ht="15.75" customHeight="1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3"/>
      <c r="T827" s="72"/>
      <c r="U827" s="72"/>
      <c r="V827" s="72"/>
      <c r="W827" s="72"/>
      <c r="X827" s="72"/>
      <c r="Y827" s="72"/>
      <c r="Z827" s="72"/>
    </row>
    <row r="828" ht="15.75" customHeight="1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3"/>
      <c r="T828" s="72"/>
      <c r="U828" s="72"/>
      <c r="V828" s="72"/>
      <c r="W828" s="72"/>
      <c r="X828" s="72"/>
      <c r="Y828" s="72"/>
      <c r="Z828" s="72"/>
    </row>
    <row r="829" ht="15.75" customHeight="1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3"/>
      <c r="T829" s="72"/>
      <c r="U829" s="72"/>
      <c r="V829" s="72"/>
      <c r="W829" s="72"/>
      <c r="X829" s="72"/>
      <c r="Y829" s="72"/>
      <c r="Z829" s="72"/>
    </row>
    <row r="830" ht="15.75" customHeight="1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3"/>
      <c r="T830" s="72"/>
      <c r="U830" s="72"/>
      <c r="V830" s="72"/>
      <c r="W830" s="72"/>
      <c r="X830" s="72"/>
      <c r="Y830" s="72"/>
      <c r="Z830" s="72"/>
    </row>
    <row r="831" ht="15.75" customHeight="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3"/>
      <c r="T831" s="72"/>
      <c r="U831" s="72"/>
      <c r="V831" s="72"/>
      <c r="W831" s="72"/>
      <c r="X831" s="72"/>
      <c r="Y831" s="72"/>
      <c r="Z831" s="72"/>
    </row>
    <row r="832" ht="15.75" customHeight="1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3"/>
      <c r="T832" s="72"/>
      <c r="U832" s="72"/>
      <c r="V832" s="72"/>
      <c r="W832" s="72"/>
      <c r="X832" s="72"/>
      <c r="Y832" s="72"/>
      <c r="Z832" s="72"/>
    </row>
    <row r="833" ht="15.75" customHeight="1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3"/>
      <c r="T833" s="72"/>
      <c r="U833" s="72"/>
      <c r="V833" s="72"/>
      <c r="W833" s="72"/>
      <c r="X833" s="72"/>
      <c r="Y833" s="72"/>
      <c r="Z833" s="72"/>
    </row>
    <row r="834" ht="15.75" customHeight="1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3"/>
      <c r="T834" s="72"/>
      <c r="U834" s="72"/>
      <c r="V834" s="72"/>
      <c r="W834" s="72"/>
      <c r="X834" s="72"/>
      <c r="Y834" s="72"/>
      <c r="Z834" s="72"/>
    </row>
    <row r="835" ht="15.75" customHeight="1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3"/>
      <c r="T835" s="72"/>
      <c r="U835" s="72"/>
      <c r="V835" s="72"/>
      <c r="W835" s="72"/>
      <c r="X835" s="72"/>
      <c r="Y835" s="72"/>
      <c r="Z835" s="72"/>
    </row>
    <row r="836" ht="15.75" customHeight="1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3"/>
      <c r="T836" s="72"/>
      <c r="U836" s="72"/>
      <c r="V836" s="72"/>
      <c r="W836" s="72"/>
      <c r="X836" s="72"/>
      <c r="Y836" s="72"/>
      <c r="Z836" s="72"/>
    </row>
    <row r="837" ht="15.75" customHeight="1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3"/>
      <c r="T837" s="72"/>
      <c r="U837" s="72"/>
      <c r="V837" s="72"/>
      <c r="W837" s="72"/>
      <c r="X837" s="72"/>
      <c r="Y837" s="72"/>
      <c r="Z837" s="72"/>
    </row>
    <row r="838" ht="15.75" customHeight="1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3"/>
      <c r="T838" s="72"/>
      <c r="U838" s="72"/>
      <c r="V838" s="72"/>
      <c r="W838" s="72"/>
      <c r="X838" s="72"/>
      <c r="Y838" s="72"/>
      <c r="Z838" s="72"/>
    </row>
    <row r="839" ht="15.75" customHeight="1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3"/>
      <c r="T839" s="72"/>
      <c r="U839" s="72"/>
      <c r="V839" s="72"/>
      <c r="W839" s="72"/>
      <c r="X839" s="72"/>
      <c r="Y839" s="72"/>
      <c r="Z839" s="72"/>
    </row>
    <row r="840" ht="15.75" customHeight="1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3"/>
      <c r="T840" s="72"/>
      <c r="U840" s="72"/>
      <c r="V840" s="72"/>
      <c r="W840" s="72"/>
      <c r="X840" s="72"/>
      <c r="Y840" s="72"/>
      <c r="Z840" s="72"/>
    </row>
    <row r="841" ht="15.75" customHeight="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3"/>
      <c r="T841" s="72"/>
      <c r="U841" s="72"/>
      <c r="V841" s="72"/>
      <c r="W841" s="72"/>
      <c r="X841" s="72"/>
      <c r="Y841" s="72"/>
      <c r="Z841" s="72"/>
    </row>
    <row r="842" ht="15.75" customHeight="1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3"/>
      <c r="T842" s="72"/>
      <c r="U842" s="72"/>
      <c r="V842" s="72"/>
      <c r="W842" s="72"/>
      <c r="X842" s="72"/>
      <c r="Y842" s="72"/>
      <c r="Z842" s="72"/>
    </row>
    <row r="843" ht="15.75" customHeight="1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3"/>
      <c r="T843" s="72"/>
      <c r="U843" s="72"/>
      <c r="V843" s="72"/>
      <c r="W843" s="72"/>
      <c r="X843" s="72"/>
      <c r="Y843" s="72"/>
      <c r="Z843" s="72"/>
    </row>
    <row r="844" ht="15.75" customHeight="1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3"/>
      <c r="T844" s="72"/>
      <c r="U844" s="72"/>
      <c r="V844" s="72"/>
      <c r="W844" s="72"/>
      <c r="X844" s="72"/>
      <c r="Y844" s="72"/>
      <c r="Z844" s="72"/>
    </row>
    <row r="845" ht="15.75" customHeight="1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3"/>
      <c r="T845" s="72"/>
      <c r="U845" s="72"/>
      <c r="V845" s="72"/>
      <c r="W845" s="72"/>
      <c r="X845" s="72"/>
      <c r="Y845" s="72"/>
      <c r="Z845" s="72"/>
    </row>
    <row r="846" ht="15.75" customHeight="1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3"/>
      <c r="T846" s="72"/>
      <c r="U846" s="72"/>
      <c r="V846" s="72"/>
      <c r="W846" s="72"/>
      <c r="X846" s="72"/>
      <c r="Y846" s="72"/>
      <c r="Z846" s="72"/>
    </row>
    <row r="847" ht="15.75" customHeight="1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3"/>
      <c r="T847" s="72"/>
      <c r="U847" s="72"/>
      <c r="V847" s="72"/>
      <c r="W847" s="72"/>
      <c r="X847" s="72"/>
      <c r="Y847" s="72"/>
      <c r="Z847" s="72"/>
    </row>
    <row r="848" ht="15.75" customHeight="1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3"/>
      <c r="T848" s="72"/>
      <c r="U848" s="72"/>
      <c r="V848" s="72"/>
      <c r="W848" s="72"/>
      <c r="X848" s="72"/>
      <c r="Y848" s="72"/>
      <c r="Z848" s="72"/>
    </row>
    <row r="849" ht="15.75" customHeight="1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3"/>
      <c r="T849" s="72"/>
      <c r="U849" s="72"/>
      <c r="V849" s="72"/>
      <c r="W849" s="72"/>
      <c r="X849" s="72"/>
      <c r="Y849" s="72"/>
      <c r="Z849" s="72"/>
    </row>
    <row r="850" ht="15.75" customHeight="1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3"/>
      <c r="T850" s="72"/>
      <c r="U850" s="72"/>
      <c r="V850" s="72"/>
      <c r="W850" s="72"/>
      <c r="X850" s="72"/>
      <c r="Y850" s="72"/>
      <c r="Z850" s="72"/>
    </row>
    <row r="851" ht="15.75" customHeight="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3"/>
      <c r="T851" s="72"/>
      <c r="U851" s="72"/>
      <c r="V851" s="72"/>
      <c r="W851" s="72"/>
      <c r="X851" s="72"/>
      <c r="Y851" s="72"/>
      <c r="Z851" s="72"/>
    </row>
    <row r="852" ht="15.75" customHeight="1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3"/>
      <c r="T852" s="72"/>
      <c r="U852" s="72"/>
      <c r="V852" s="72"/>
      <c r="W852" s="72"/>
      <c r="X852" s="72"/>
      <c r="Y852" s="72"/>
      <c r="Z852" s="72"/>
    </row>
    <row r="853" ht="15.75" customHeight="1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3"/>
      <c r="T853" s="72"/>
      <c r="U853" s="72"/>
      <c r="V853" s="72"/>
      <c r="W853" s="72"/>
      <c r="X853" s="72"/>
      <c r="Y853" s="72"/>
      <c r="Z853" s="72"/>
    </row>
    <row r="854" ht="15.75" customHeight="1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3"/>
      <c r="T854" s="72"/>
      <c r="U854" s="72"/>
      <c r="V854" s="72"/>
      <c r="W854" s="72"/>
      <c r="X854" s="72"/>
      <c r="Y854" s="72"/>
      <c r="Z854" s="72"/>
    </row>
    <row r="855" ht="15.75" customHeight="1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3"/>
      <c r="T855" s="72"/>
      <c r="U855" s="72"/>
      <c r="V855" s="72"/>
      <c r="W855" s="72"/>
      <c r="X855" s="72"/>
      <c r="Y855" s="72"/>
      <c r="Z855" s="72"/>
    </row>
    <row r="856" ht="15.75" customHeight="1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3"/>
      <c r="T856" s="72"/>
      <c r="U856" s="72"/>
      <c r="V856" s="72"/>
      <c r="W856" s="72"/>
      <c r="X856" s="72"/>
      <c r="Y856" s="72"/>
      <c r="Z856" s="72"/>
    </row>
    <row r="857" ht="15.75" customHeight="1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3"/>
      <c r="T857" s="72"/>
      <c r="U857" s="72"/>
      <c r="V857" s="72"/>
      <c r="W857" s="72"/>
      <c r="X857" s="72"/>
      <c r="Y857" s="72"/>
      <c r="Z857" s="72"/>
    </row>
    <row r="858" ht="15.75" customHeight="1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3"/>
      <c r="T858" s="72"/>
      <c r="U858" s="72"/>
      <c r="V858" s="72"/>
      <c r="W858" s="72"/>
      <c r="X858" s="72"/>
      <c r="Y858" s="72"/>
      <c r="Z858" s="72"/>
    </row>
    <row r="859" ht="15.75" customHeight="1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3"/>
      <c r="T859" s="72"/>
      <c r="U859" s="72"/>
      <c r="V859" s="72"/>
      <c r="W859" s="72"/>
      <c r="X859" s="72"/>
      <c r="Y859" s="72"/>
      <c r="Z859" s="72"/>
    </row>
    <row r="860" ht="15.75" customHeight="1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3"/>
      <c r="T860" s="72"/>
      <c r="U860" s="72"/>
      <c r="V860" s="72"/>
      <c r="W860" s="72"/>
      <c r="X860" s="72"/>
      <c r="Y860" s="72"/>
      <c r="Z860" s="72"/>
    </row>
    <row r="861" ht="15.75" customHeight="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3"/>
      <c r="T861" s="72"/>
      <c r="U861" s="72"/>
      <c r="V861" s="72"/>
      <c r="W861" s="72"/>
      <c r="X861" s="72"/>
      <c r="Y861" s="72"/>
      <c r="Z861" s="72"/>
    </row>
    <row r="862" ht="15.75" customHeight="1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3"/>
      <c r="T862" s="72"/>
      <c r="U862" s="72"/>
      <c r="V862" s="72"/>
      <c r="W862" s="72"/>
      <c r="X862" s="72"/>
      <c r="Y862" s="72"/>
      <c r="Z862" s="72"/>
    </row>
    <row r="863" ht="15.75" customHeight="1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3"/>
      <c r="T863" s="72"/>
      <c r="U863" s="72"/>
      <c r="V863" s="72"/>
      <c r="W863" s="72"/>
      <c r="X863" s="72"/>
      <c r="Y863" s="72"/>
      <c r="Z863" s="72"/>
    </row>
    <row r="864" ht="15.75" customHeight="1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3"/>
      <c r="T864" s="72"/>
      <c r="U864" s="72"/>
      <c r="V864" s="72"/>
      <c r="W864" s="72"/>
      <c r="X864" s="72"/>
      <c r="Y864" s="72"/>
      <c r="Z864" s="72"/>
    </row>
    <row r="865" ht="15.75" customHeight="1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3"/>
      <c r="T865" s="72"/>
      <c r="U865" s="72"/>
      <c r="V865" s="72"/>
      <c r="W865" s="72"/>
      <c r="X865" s="72"/>
      <c r="Y865" s="72"/>
      <c r="Z865" s="72"/>
    </row>
    <row r="866" ht="15.75" customHeight="1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3"/>
      <c r="T866" s="72"/>
      <c r="U866" s="72"/>
      <c r="V866" s="72"/>
      <c r="W866" s="72"/>
      <c r="X866" s="72"/>
      <c r="Y866" s="72"/>
      <c r="Z866" s="72"/>
    </row>
    <row r="867" ht="15.75" customHeight="1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3"/>
      <c r="T867" s="72"/>
      <c r="U867" s="72"/>
      <c r="V867" s="72"/>
      <c r="W867" s="72"/>
      <c r="X867" s="72"/>
      <c r="Y867" s="72"/>
      <c r="Z867" s="72"/>
    </row>
    <row r="868" ht="15.75" customHeight="1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3"/>
      <c r="T868" s="72"/>
      <c r="U868" s="72"/>
      <c r="V868" s="72"/>
      <c r="W868" s="72"/>
      <c r="X868" s="72"/>
      <c r="Y868" s="72"/>
      <c r="Z868" s="72"/>
    </row>
    <row r="869" ht="15.75" customHeight="1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3"/>
      <c r="T869" s="72"/>
      <c r="U869" s="72"/>
      <c r="V869" s="72"/>
      <c r="W869" s="72"/>
      <c r="X869" s="72"/>
      <c r="Y869" s="72"/>
      <c r="Z869" s="72"/>
    </row>
    <row r="870" ht="15.75" customHeight="1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3"/>
      <c r="T870" s="72"/>
      <c r="U870" s="72"/>
      <c r="V870" s="72"/>
      <c r="W870" s="72"/>
      <c r="X870" s="72"/>
      <c r="Y870" s="72"/>
      <c r="Z870" s="72"/>
    </row>
    <row r="871" ht="15.75" customHeight="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3"/>
      <c r="T871" s="72"/>
      <c r="U871" s="72"/>
      <c r="V871" s="72"/>
      <c r="W871" s="72"/>
      <c r="X871" s="72"/>
      <c r="Y871" s="72"/>
      <c r="Z871" s="72"/>
    </row>
    <row r="872" ht="15.75" customHeight="1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3"/>
      <c r="T872" s="72"/>
      <c r="U872" s="72"/>
      <c r="V872" s="72"/>
      <c r="W872" s="72"/>
      <c r="X872" s="72"/>
      <c r="Y872" s="72"/>
      <c r="Z872" s="72"/>
    </row>
    <row r="873" ht="15.75" customHeight="1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3"/>
      <c r="T873" s="72"/>
      <c r="U873" s="72"/>
      <c r="V873" s="72"/>
      <c r="W873" s="72"/>
      <c r="X873" s="72"/>
      <c r="Y873" s="72"/>
      <c r="Z873" s="72"/>
    </row>
    <row r="874" ht="15.75" customHeight="1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3"/>
      <c r="T874" s="72"/>
      <c r="U874" s="72"/>
      <c r="V874" s="72"/>
      <c r="W874" s="72"/>
      <c r="X874" s="72"/>
      <c r="Y874" s="72"/>
      <c r="Z874" s="72"/>
    </row>
    <row r="875" ht="15.75" customHeight="1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3"/>
      <c r="T875" s="72"/>
      <c r="U875" s="72"/>
      <c r="V875" s="72"/>
      <c r="W875" s="72"/>
      <c r="X875" s="72"/>
      <c r="Y875" s="72"/>
      <c r="Z875" s="72"/>
    </row>
    <row r="876" ht="15.75" customHeight="1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3"/>
      <c r="T876" s="72"/>
      <c r="U876" s="72"/>
      <c r="V876" s="72"/>
      <c r="W876" s="72"/>
      <c r="X876" s="72"/>
      <c r="Y876" s="72"/>
      <c r="Z876" s="72"/>
    </row>
    <row r="877" ht="15.75" customHeight="1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3"/>
      <c r="T877" s="72"/>
      <c r="U877" s="72"/>
      <c r="V877" s="72"/>
      <c r="W877" s="72"/>
      <c r="X877" s="72"/>
      <c r="Y877" s="72"/>
      <c r="Z877" s="72"/>
    </row>
    <row r="878" ht="15.75" customHeight="1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3"/>
      <c r="T878" s="72"/>
      <c r="U878" s="72"/>
      <c r="V878" s="72"/>
      <c r="W878" s="72"/>
      <c r="X878" s="72"/>
      <c r="Y878" s="72"/>
      <c r="Z878" s="72"/>
    </row>
    <row r="879" ht="15.75" customHeight="1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3"/>
      <c r="T879" s="72"/>
      <c r="U879" s="72"/>
      <c r="V879" s="72"/>
      <c r="W879" s="72"/>
      <c r="X879" s="72"/>
      <c r="Y879" s="72"/>
      <c r="Z879" s="72"/>
    </row>
    <row r="880" ht="15.75" customHeight="1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3"/>
      <c r="T880" s="72"/>
      <c r="U880" s="72"/>
      <c r="V880" s="72"/>
      <c r="W880" s="72"/>
      <c r="X880" s="72"/>
      <c r="Y880" s="72"/>
      <c r="Z880" s="72"/>
    </row>
    <row r="881" ht="15.75" customHeight="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3"/>
      <c r="T881" s="72"/>
      <c r="U881" s="72"/>
      <c r="V881" s="72"/>
      <c r="W881" s="72"/>
      <c r="X881" s="72"/>
      <c r="Y881" s="72"/>
      <c r="Z881" s="72"/>
    </row>
    <row r="882" ht="15.75" customHeight="1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3"/>
      <c r="T882" s="72"/>
      <c r="U882" s="72"/>
      <c r="V882" s="72"/>
      <c r="W882" s="72"/>
      <c r="X882" s="72"/>
      <c r="Y882" s="72"/>
      <c r="Z882" s="72"/>
    </row>
    <row r="883" ht="15.75" customHeight="1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3"/>
      <c r="T883" s="72"/>
      <c r="U883" s="72"/>
      <c r="V883" s="72"/>
      <c r="W883" s="72"/>
      <c r="X883" s="72"/>
      <c r="Y883" s="72"/>
      <c r="Z883" s="72"/>
    </row>
    <row r="884" ht="15.75" customHeight="1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3"/>
      <c r="T884" s="72"/>
      <c r="U884" s="72"/>
      <c r="V884" s="72"/>
      <c r="W884" s="72"/>
      <c r="X884" s="72"/>
      <c r="Y884" s="72"/>
      <c r="Z884" s="72"/>
    </row>
    <row r="885" ht="15.75" customHeight="1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3"/>
      <c r="T885" s="72"/>
      <c r="U885" s="72"/>
      <c r="V885" s="72"/>
      <c r="W885" s="72"/>
      <c r="X885" s="72"/>
      <c r="Y885" s="72"/>
      <c r="Z885" s="72"/>
    </row>
    <row r="886" ht="15.75" customHeight="1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3"/>
      <c r="T886" s="72"/>
      <c r="U886" s="72"/>
      <c r="V886" s="72"/>
      <c r="W886" s="72"/>
      <c r="X886" s="72"/>
      <c r="Y886" s="72"/>
      <c r="Z886" s="72"/>
    </row>
    <row r="887" ht="15.75" customHeight="1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3"/>
      <c r="T887" s="72"/>
      <c r="U887" s="72"/>
      <c r="V887" s="72"/>
      <c r="W887" s="72"/>
      <c r="X887" s="72"/>
      <c r="Y887" s="72"/>
      <c r="Z887" s="72"/>
    </row>
    <row r="888" ht="15.75" customHeight="1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3"/>
      <c r="T888" s="72"/>
      <c r="U888" s="72"/>
      <c r="V888" s="72"/>
      <c r="W888" s="72"/>
      <c r="X888" s="72"/>
      <c r="Y888" s="72"/>
      <c r="Z888" s="72"/>
    </row>
    <row r="889" ht="15.75" customHeight="1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3"/>
      <c r="T889" s="72"/>
      <c r="U889" s="72"/>
      <c r="V889" s="72"/>
      <c r="W889" s="72"/>
      <c r="X889" s="72"/>
      <c r="Y889" s="72"/>
      <c r="Z889" s="72"/>
    </row>
    <row r="890" ht="15.75" customHeight="1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3"/>
      <c r="T890" s="72"/>
      <c r="U890" s="72"/>
      <c r="V890" s="72"/>
      <c r="W890" s="72"/>
      <c r="X890" s="72"/>
      <c r="Y890" s="72"/>
      <c r="Z890" s="72"/>
    </row>
    <row r="891" ht="15.75" customHeight="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3"/>
      <c r="T891" s="72"/>
      <c r="U891" s="72"/>
      <c r="V891" s="72"/>
      <c r="W891" s="72"/>
      <c r="X891" s="72"/>
      <c r="Y891" s="72"/>
      <c r="Z891" s="72"/>
    </row>
    <row r="892" ht="15.75" customHeight="1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3"/>
      <c r="T892" s="72"/>
      <c r="U892" s="72"/>
      <c r="V892" s="72"/>
      <c r="W892" s="72"/>
      <c r="X892" s="72"/>
      <c r="Y892" s="72"/>
      <c r="Z892" s="72"/>
    </row>
    <row r="893" ht="15.75" customHeight="1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3"/>
      <c r="T893" s="72"/>
      <c r="U893" s="72"/>
      <c r="V893" s="72"/>
      <c r="W893" s="72"/>
      <c r="X893" s="72"/>
      <c r="Y893" s="72"/>
      <c r="Z893" s="72"/>
    </row>
    <row r="894" ht="15.75" customHeight="1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3"/>
      <c r="T894" s="72"/>
      <c r="U894" s="72"/>
      <c r="V894" s="72"/>
      <c r="W894" s="72"/>
      <c r="X894" s="72"/>
      <c r="Y894" s="72"/>
      <c r="Z894" s="72"/>
    </row>
    <row r="895" ht="15.75" customHeight="1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3"/>
      <c r="T895" s="72"/>
      <c r="U895" s="72"/>
      <c r="V895" s="72"/>
      <c r="W895" s="72"/>
      <c r="X895" s="72"/>
      <c r="Y895" s="72"/>
      <c r="Z895" s="72"/>
    </row>
    <row r="896" ht="15.75" customHeight="1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3"/>
      <c r="T896" s="72"/>
      <c r="U896" s="72"/>
      <c r="V896" s="72"/>
      <c r="W896" s="72"/>
      <c r="X896" s="72"/>
      <c r="Y896" s="72"/>
      <c r="Z896" s="72"/>
    </row>
    <row r="897" ht="15.75" customHeight="1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3"/>
      <c r="T897" s="72"/>
      <c r="U897" s="72"/>
      <c r="V897" s="72"/>
      <c r="W897" s="72"/>
      <c r="X897" s="72"/>
      <c r="Y897" s="72"/>
      <c r="Z897" s="72"/>
    </row>
    <row r="898" ht="15.75" customHeight="1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3"/>
      <c r="T898" s="72"/>
      <c r="U898" s="72"/>
      <c r="V898" s="72"/>
      <c r="W898" s="72"/>
      <c r="X898" s="72"/>
      <c r="Y898" s="72"/>
      <c r="Z898" s="72"/>
    </row>
    <row r="899" ht="15.75" customHeight="1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3"/>
      <c r="T899" s="72"/>
      <c r="U899" s="72"/>
      <c r="V899" s="72"/>
      <c r="W899" s="72"/>
      <c r="X899" s="72"/>
      <c r="Y899" s="72"/>
      <c r="Z899" s="72"/>
    </row>
    <row r="900" ht="15.75" customHeight="1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3"/>
      <c r="T900" s="72"/>
      <c r="U900" s="72"/>
      <c r="V900" s="72"/>
      <c r="W900" s="72"/>
      <c r="X900" s="72"/>
      <c r="Y900" s="72"/>
      <c r="Z900" s="72"/>
    </row>
    <row r="901" ht="15.75" customHeight="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3"/>
      <c r="T901" s="72"/>
      <c r="U901" s="72"/>
      <c r="V901" s="72"/>
      <c r="W901" s="72"/>
      <c r="X901" s="72"/>
      <c r="Y901" s="72"/>
      <c r="Z901" s="72"/>
    </row>
    <row r="902" ht="15.75" customHeight="1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3"/>
      <c r="T902" s="72"/>
      <c r="U902" s="72"/>
      <c r="V902" s="72"/>
      <c r="W902" s="72"/>
      <c r="X902" s="72"/>
      <c r="Y902" s="72"/>
      <c r="Z902" s="72"/>
    </row>
    <row r="903" ht="15.75" customHeight="1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3"/>
      <c r="T903" s="72"/>
      <c r="U903" s="72"/>
      <c r="V903" s="72"/>
      <c r="W903" s="72"/>
      <c r="X903" s="72"/>
      <c r="Y903" s="72"/>
      <c r="Z903" s="72"/>
    </row>
    <row r="904" ht="15.75" customHeight="1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3"/>
      <c r="T904" s="72"/>
      <c r="U904" s="72"/>
      <c r="V904" s="72"/>
      <c r="W904" s="72"/>
      <c r="X904" s="72"/>
      <c r="Y904" s="72"/>
      <c r="Z904" s="72"/>
    </row>
    <row r="905" ht="15.75" customHeight="1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3"/>
      <c r="T905" s="72"/>
      <c r="U905" s="72"/>
      <c r="V905" s="72"/>
      <c r="W905" s="72"/>
      <c r="X905" s="72"/>
      <c r="Y905" s="72"/>
      <c r="Z905" s="72"/>
    </row>
    <row r="906" ht="15.75" customHeight="1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3"/>
      <c r="T906" s="72"/>
      <c r="U906" s="72"/>
      <c r="V906" s="72"/>
      <c r="W906" s="72"/>
      <c r="X906" s="72"/>
      <c r="Y906" s="72"/>
      <c r="Z906" s="72"/>
    </row>
    <row r="907" ht="15.75" customHeight="1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3"/>
      <c r="T907" s="72"/>
      <c r="U907" s="72"/>
      <c r="V907" s="72"/>
      <c r="W907" s="72"/>
      <c r="X907" s="72"/>
      <c r="Y907" s="72"/>
      <c r="Z907" s="72"/>
    </row>
    <row r="908" ht="15.75" customHeight="1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3"/>
      <c r="T908" s="72"/>
      <c r="U908" s="72"/>
      <c r="V908" s="72"/>
      <c r="W908" s="72"/>
      <c r="X908" s="72"/>
      <c r="Y908" s="72"/>
      <c r="Z908" s="72"/>
    </row>
    <row r="909" ht="15.75" customHeight="1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3"/>
      <c r="T909" s="72"/>
      <c r="U909" s="72"/>
      <c r="V909" s="72"/>
      <c r="W909" s="72"/>
      <c r="X909" s="72"/>
      <c r="Y909" s="72"/>
      <c r="Z909" s="72"/>
    </row>
    <row r="910" ht="15.75" customHeight="1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3"/>
      <c r="T910" s="72"/>
      <c r="U910" s="72"/>
      <c r="V910" s="72"/>
      <c r="W910" s="72"/>
      <c r="X910" s="72"/>
      <c r="Y910" s="72"/>
      <c r="Z910" s="72"/>
    </row>
    <row r="911" ht="15.75" customHeight="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3"/>
      <c r="T911" s="72"/>
      <c r="U911" s="72"/>
      <c r="V911" s="72"/>
      <c r="W911" s="72"/>
      <c r="X911" s="72"/>
      <c r="Y911" s="72"/>
      <c r="Z911" s="72"/>
    </row>
    <row r="912" ht="15.75" customHeight="1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3"/>
      <c r="T912" s="72"/>
      <c r="U912" s="72"/>
      <c r="V912" s="72"/>
      <c r="W912" s="72"/>
      <c r="X912" s="72"/>
      <c r="Y912" s="72"/>
      <c r="Z912" s="72"/>
    </row>
    <row r="913" ht="15.75" customHeight="1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3"/>
      <c r="T913" s="72"/>
      <c r="U913" s="72"/>
      <c r="V913" s="72"/>
      <c r="W913" s="72"/>
      <c r="X913" s="72"/>
      <c r="Y913" s="72"/>
      <c r="Z913" s="72"/>
    </row>
    <row r="914" ht="15.75" customHeight="1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3"/>
      <c r="T914" s="72"/>
      <c r="U914" s="72"/>
      <c r="V914" s="72"/>
      <c r="W914" s="72"/>
      <c r="X914" s="72"/>
      <c r="Y914" s="72"/>
      <c r="Z914" s="72"/>
    </row>
    <row r="915" ht="15.75" customHeight="1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3"/>
      <c r="T915" s="72"/>
      <c r="U915" s="72"/>
      <c r="V915" s="72"/>
      <c r="W915" s="72"/>
      <c r="X915" s="72"/>
      <c r="Y915" s="72"/>
      <c r="Z915" s="72"/>
    </row>
    <row r="916" ht="15.75" customHeight="1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3"/>
      <c r="T916" s="72"/>
      <c r="U916" s="72"/>
      <c r="V916" s="72"/>
      <c r="W916" s="72"/>
      <c r="X916" s="72"/>
      <c r="Y916" s="72"/>
      <c r="Z916" s="72"/>
    </row>
    <row r="917" ht="15.75" customHeight="1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3"/>
      <c r="T917" s="72"/>
      <c r="U917" s="72"/>
      <c r="V917" s="72"/>
      <c r="W917" s="72"/>
      <c r="X917" s="72"/>
      <c r="Y917" s="72"/>
      <c r="Z917" s="72"/>
    </row>
    <row r="918" ht="15.75" customHeight="1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3"/>
      <c r="T918" s="72"/>
      <c r="U918" s="72"/>
      <c r="V918" s="72"/>
      <c r="W918" s="72"/>
      <c r="X918" s="72"/>
      <c r="Y918" s="72"/>
      <c r="Z918" s="72"/>
    </row>
    <row r="919" ht="15.75" customHeight="1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3"/>
      <c r="T919" s="72"/>
      <c r="U919" s="72"/>
      <c r="V919" s="72"/>
      <c r="W919" s="72"/>
      <c r="X919" s="72"/>
      <c r="Y919" s="72"/>
      <c r="Z919" s="72"/>
    </row>
    <row r="920" ht="15.75" customHeight="1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3"/>
      <c r="T920" s="72"/>
      <c r="U920" s="72"/>
      <c r="V920" s="72"/>
      <c r="W920" s="72"/>
      <c r="X920" s="72"/>
      <c r="Y920" s="72"/>
      <c r="Z920" s="72"/>
    </row>
    <row r="921" ht="15.75" customHeight="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3"/>
      <c r="T921" s="72"/>
      <c r="U921" s="72"/>
      <c r="V921" s="72"/>
      <c r="W921" s="72"/>
      <c r="X921" s="72"/>
      <c r="Y921" s="72"/>
      <c r="Z921" s="72"/>
    </row>
    <row r="922" ht="15.75" customHeight="1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3"/>
      <c r="T922" s="72"/>
      <c r="U922" s="72"/>
      <c r="V922" s="72"/>
      <c r="W922" s="72"/>
      <c r="X922" s="72"/>
      <c r="Y922" s="72"/>
      <c r="Z922" s="72"/>
    </row>
    <row r="923" ht="15.75" customHeight="1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3"/>
      <c r="T923" s="72"/>
      <c r="U923" s="72"/>
      <c r="V923" s="72"/>
      <c r="W923" s="72"/>
      <c r="X923" s="72"/>
      <c r="Y923" s="72"/>
      <c r="Z923" s="72"/>
    </row>
    <row r="924" ht="15.75" customHeight="1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3"/>
      <c r="T924" s="72"/>
      <c r="U924" s="72"/>
      <c r="V924" s="72"/>
      <c r="W924" s="72"/>
      <c r="X924" s="72"/>
      <c r="Y924" s="72"/>
      <c r="Z924" s="72"/>
    </row>
    <row r="925" ht="15.75" customHeight="1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3"/>
      <c r="T925" s="72"/>
      <c r="U925" s="72"/>
      <c r="V925" s="72"/>
      <c r="W925" s="72"/>
      <c r="X925" s="72"/>
      <c r="Y925" s="72"/>
      <c r="Z925" s="72"/>
    </row>
    <row r="926" ht="15.75" customHeight="1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3"/>
      <c r="T926" s="72"/>
      <c r="U926" s="72"/>
      <c r="V926" s="72"/>
      <c r="W926" s="72"/>
      <c r="X926" s="72"/>
      <c r="Y926" s="72"/>
      <c r="Z926" s="72"/>
    </row>
    <row r="927" ht="15.75" customHeight="1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3"/>
      <c r="T927" s="72"/>
      <c r="U927" s="72"/>
      <c r="V927" s="72"/>
      <c r="W927" s="72"/>
      <c r="X927" s="72"/>
      <c r="Y927" s="72"/>
      <c r="Z927" s="72"/>
    </row>
    <row r="928" ht="15.75" customHeight="1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3"/>
      <c r="T928" s="72"/>
      <c r="U928" s="72"/>
      <c r="V928" s="72"/>
      <c r="W928" s="72"/>
      <c r="X928" s="72"/>
      <c r="Y928" s="72"/>
      <c r="Z928" s="72"/>
    </row>
    <row r="929" ht="15.75" customHeight="1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3"/>
      <c r="T929" s="72"/>
      <c r="U929" s="72"/>
      <c r="V929" s="72"/>
      <c r="W929" s="72"/>
      <c r="X929" s="72"/>
      <c r="Y929" s="72"/>
      <c r="Z929" s="72"/>
    </row>
    <row r="930" ht="15.75" customHeight="1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3"/>
      <c r="T930" s="72"/>
      <c r="U930" s="72"/>
      <c r="V930" s="72"/>
      <c r="W930" s="72"/>
      <c r="X930" s="72"/>
      <c r="Y930" s="72"/>
      <c r="Z930" s="72"/>
    </row>
    <row r="931" ht="15.75" customHeight="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3"/>
      <c r="T931" s="72"/>
      <c r="U931" s="72"/>
      <c r="V931" s="72"/>
      <c r="W931" s="72"/>
      <c r="X931" s="72"/>
      <c r="Y931" s="72"/>
      <c r="Z931" s="72"/>
    </row>
    <row r="932" ht="15.75" customHeight="1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3"/>
      <c r="T932" s="72"/>
      <c r="U932" s="72"/>
      <c r="V932" s="72"/>
      <c r="W932" s="72"/>
      <c r="X932" s="72"/>
      <c r="Y932" s="72"/>
      <c r="Z932" s="72"/>
    </row>
    <row r="933" ht="15.75" customHeight="1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3"/>
      <c r="T933" s="72"/>
      <c r="U933" s="72"/>
      <c r="V933" s="72"/>
      <c r="W933" s="72"/>
      <c r="X933" s="72"/>
      <c r="Y933" s="72"/>
      <c r="Z933" s="72"/>
    </row>
    <row r="934" ht="15.75" customHeight="1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3"/>
      <c r="T934" s="72"/>
      <c r="U934" s="72"/>
      <c r="V934" s="72"/>
      <c r="W934" s="72"/>
      <c r="X934" s="72"/>
      <c r="Y934" s="72"/>
      <c r="Z934" s="72"/>
    </row>
    <row r="935" ht="15.75" customHeight="1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3"/>
      <c r="T935" s="72"/>
      <c r="U935" s="72"/>
      <c r="V935" s="72"/>
      <c r="W935" s="72"/>
      <c r="X935" s="72"/>
      <c r="Y935" s="72"/>
      <c r="Z935" s="72"/>
    </row>
    <row r="936" ht="15.75" customHeight="1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3"/>
      <c r="T936" s="72"/>
      <c r="U936" s="72"/>
      <c r="V936" s="72"/>
      <c r="W936" s="72"/>
      <c r="X936" s="72"/>
      <c r="Y936" s="72"/>
      <c r="Z936" s="72"/>
    </row>
    <row r="937" ht="15.75" customHeight="1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3"/>
      <c r="T937" s="72"/>
      <c r="U937" s="72"/>
      <c r="V937" s="72"/>
      <c r="W937" s="72"/>
      <c r="X937" s="72"/>
      <c r="Y937" s="72"/>
      <c r="Z937" s="72"/>
    </row>
    <row r="938" ht="15.75" customHeight="1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3"/>
      <c r="T938" s="72"/>
      <c r="U938" s="72"/>
      <c r="V938" s="72"/>
      <c r="W938" s="72"/>
      <c r="X938" s="72"/>
      <c r="Y938" s="72"/>
      <c r="Z938" s="72"/>
    </row>
    <row r="939" ht="15.75" customHeight="1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3"/>
      <c r="T939" s="72"/>
      <c r="U939" s="72"/>
      <c r="V939" s="72"/>
      <c r="W939" s="72"/>
      <c r="X939" s="72"/>
      <c r="Y939" s="72"/>
      <c r="Z939" s="72"/>
    </row>
    <row r="940" ht="15.75" customHeight="1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3"/>
      <c r="T940" s="72"/>
      <c r="U940" s="72"/>
      <c r="V940" s="72"/>
      <c r="W940" s="72"/>
      <c r="X940" s="72"/>
      <c r="Y940" s="72"/>
      <c r="Z940" s="72"/>
    </row>
    <row r="941" ht="15.75" customHeight="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3"/>
      <c r="T941" s="72"/>
      <c r="U941" s="72"/>
      <c r="V941" s="72"/>
      <c r="W941" s="72"/>
      <c r="X941" s="72"/>
      <c r="Y941" s="72"/>
      <c r="Z941" s="72"/>
    </row>
    <row r="942" ht="15.75" customHeight="1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3"/>
      <c r="T942" s="72"/>
      <c r="U942" s="72"/>
      <c r="V942" s="72"/>
      <c r="W942" s="72"/>
      <c r="X942" s="72"/>
      <c r="Y942" s="72"/>
      <c r="Z942" s="72"/>
    </row>
    <row r="943" ht="15.75" customHeight="1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3"/>
      <c r="T943" s="72"/>
      <c r="U943" s="72"/>
      <c r="V943" s="72"/>
      <c r="W943" s="72"/>
      <c r="X943" s="72"/>
      <c r="Y943" s="72"/>
      <c r="Z943" s="72"/>
    </row>
    <row r="944" ht="15.75" customHeight="1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3"/>
      <c r="T944" s="72"/>
      <c r="U944" s="72"/>
      <c r="V944" s="72"/>
      <c r="W944" s="72"/>
      <c r="X944" s="72"/>
      <c r="Y944" s="72"/>
      <c r="Z944" s="72"/>
    </row>
    <row r="945" ht="15.75" customHeight="1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3"/>
      <c r="T945" s="72"/>
      <c r="U945" s="72"/>
      <c r="V945" s="72"/>
      <c r="W945" s="72"/>
      <c r="X945" s="72"/>
      <c r="Y945" s="72"/>
      <c r="Z945" s="72"/>
    </row>
    <row r="946" ht="15.75" customHeight="1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3"/>
      <c r="T946" s="72"/>
      <c r="U946" s="72"/>
      <c r="V946" s="72"/>
      <c r="W946" s="72"/>
      <c r="X946" s="72"/>
      <c r="Y946" s="72"/>
      <c r="Z946" s="72"/>
    </row>
    <row r="947" ht="15.75" customHeight="1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3"/>
      <c r="T947" s="72"/>
      <c r="U947" s="72"/>
      <c r="V947" s="72"/>
      <c r="W947" s="72"/>
      <c r="X947" s="72"/>
      <c r="Y947" s="72"/>
      <c r="Z947" s="72"/>
    </row>
    <row r="948" ht="15.75" customHeight="1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3"/>
      <c r="T948" s="72"/>
      <c r="U948" s="72"/>
      <c r="V948" s="72"/>
      <c r="W948" s="72"/>
      <c r="X948" s="72"/>
      <c r="Y948" s="72"/>
      <c r="Z948" s="72"/>
    </row>
    <row r="949" ht="15.75" customHeight="1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3"/>
      <c r="T949" s="72"/>
      <c r="U949" s="72"/>
      <c r="V949" s="72"/>
      <c r="W949" s="72"/>
      <c r="X949" s="72"/>
      <c r="Y949" s="72"/>
      <c r="Z949" s="72"/>
    </row>
    <row r="950" ht="15.75" customHeight="1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3"/>
      <c r="T950" s="72"/>
      <c r="U950" s="72"/>
      <c r="V950" s="72"/>
      <c r="W950" s="72"/>
      <c r="X950" s="72"/>
      <c r="Y950" s="72"/>
      <c r="Z950" s="72"/>
    </row>
    <row r="951" ht="15.75" customHeight="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3"/>
      <c r="T951" s="72"/>
      <c r="U951" s="72"/>
      <c r="V951" s="72"/>
      <c r="W951" s="72"/>
      <c r="X951" s="72"/>
      <c r="Y951" s="72"/>
      <c r="Z951" s="72"/>
    </row>
    <row r="952" ht="15.75" customHeight="1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3"/>
      <c r="T952" s="72"/>
      <c r="U952" s="72"/>
      <c r="V952" s="72"/>
      <c r="W952" s="72"/>
      <c r="X952" s="72"/>
      <c r="Y952" s="72"/>
      <c r="Z952" s="72"/>
    </row>
    <row r="953" ht="15.75" customHeight="1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3"/>
      <c r="T953" s="72"/>
      <c r="U953" s="72"/>
      <c r="V953" s="72"/>
      <c r="W953" s="72"/>
      <c r="X953" s="72"/>
      <c r="Y953" s="72"/>
      <c r="Z953" s="72"/>
    </row>
    <row r="954" ht="15.75" customHeight="1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3"/>
      <c r="T954" s="72"/>
      <c r="U954" s="72"/>
      <c r="V954" s="72"/>
      <c r="W954" s="72"/>
      <c r="X954" s="72"/>
      <c r="Y954" s="72"/>
      <c r="Z954" s="72"/>
    </row>
    <row r="955" ht="15.75" customHeight="1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3"/>
      <c r="T955" s="72"/>
      <c r="U955" s="72"/>
      <c r="V955" s="72"/>
      <c r="W955" s="72"/>
      <c r="X955" s="72"/>
      <c r="Y955" s="72"/>
      <c r="Z955" s="72"/>
    </row>
    <row r="956" ht="15.75" customHeight="1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3"/>
      <c r="T956" s="72"/>
      <c r="U956" s="72"/>
      <c r="V956" s="72"/>
      <c r="W956" s="72"/>
      <c r="X956" s="72"/>
      <c r="Y956" s="72"/>
      <c r="Z956" s="72"/>
    </row>
    <row r="957" ht="15.75" customHeight="1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3"/>
      <c r="T957" s="72"/>
      <c r="U957" s="72"/>
      <c r="V957" s="72"/>
      <c r="W957" s="72"/>
      <c r="X957" s="72"/>
      <c r="Y957" s="72"/>
      <c r="Z957" s="72"/>
    </row>
    <row r="958" ht="15.75" customHeight="1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3"/>
      <c r="T958" s="72"/>
      <c r="U958" s="72"/>
      <c r="V958" s="72"/>
      <c r="W958" s="72"/>
      <c r="X958" s="72"/>
      <c r="Y958" s="72"/>
      <c r="Z958" s="72"/>
    </row>
    <row r="959" ht="15.75" customHeight="1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3"/>
      <c r="T959" s="72"/>
      <c r="U959" s="72"/>
      <c r="V959" s="72"/>
      <c r="W959" s="72"/>
      <c r="X959" s="72"/>
      <c r="Y959" s="72"/>
      <c r="Z959" s="72"/>
    </row>
    <row r="960" ht="15.75" customHeight="1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3"/>
      <c r="T960" s="72"/>
      <c r="U960" s="72"/>
      <c r="V960" s="72"/>
      <c r="W960" s="72"/>
      <c r="X960" s="72"/>
      <c r="Y960" s="72"/>
      <c r="Z960" s="72"/>
    </row>
    <row r="961" ht="15.75" customHeight="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3"/>
      <c r="T961" s="72"/>
      <c r="U961" s="72"/>
      <c r="V961" s="72"/>
      <c r="W961" s="72"/>
      <c r="X961" s="72"/>
      <c r="Y961" s="72"/>
      <c r="Z961" s="72"/>
    </row>
    <row r="962" ht="15.75" customHeight="1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3"/>
      <c r="T962" s="72"/>
      <c r="U962" s="72"/>
      <c r="V962" s="72"/>
      <c r="W962" s="72"/>
      <c r="X962" s="72"/>
      <c r="Y962" s="72"/>
      <c r="Z962" s="72"/>
    </row>
    <row r="963" ht="15.75" customHeight="1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3"/>
      <c r="T963" s="72"/>
      <c r="U963" s="72"/>
      <c r="V963" s="72"/>
      <c r="W963" s="72"/>
      <c r="X963" s="72"/>
      <c r="Y963" s="72"/>
      <c r="Z963" s="72"/>
    </row>
    <row r="964" ht="15.75" customHeight="1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3"/>
      <c r="T964" s="72"/>
      <c r="U964" s="72"/>
      <c r="V964" s="72"/>
      <c r="W964" s="72"/>
      <c r="X964" s="72"/>
      <c r="Y964" s="72"/>
      <c r="Z964" s="72"/>
    </row>
    <row r="965" ht="15.75" customHeight="1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3"/>
      <c r="T965" s="72"/>
      <c r="U965" s="72"/>
      <c r="V965" s="72"/>
      <c r="W965" s="72"/>
      <c r="X965" s="72"/>
      <c r="Y965" s="72"/>
      <c r="Z965" s="72"/>
    </row>
    <row r="966" ht="15.75" customHeight="1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3"/>
      <c r="T966" s="72"/>
      <c r="U966" s="72"/>
      <c r="V966" s="72"/>
      <c r="W966" s="72"/>
      <c r="X966" s="72"/>
      <c r="Y966" s="72"/>
      <c r="Z966" s="72"/>
    </row>
    <row r="967" ht="15.75" customHeight="1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3"/>
      <c r="T967" s="72"/>
      <c r="U967" s="72"/>
      <c r="V967" s="72"/>
      <c r="W967" s="72"/>
      <c r="X967" s="72"/>
      <c r="Y967" s="72"/>
      <c r="Z967" s="72"/>
    </row>
    <row r="968" ht="15.75" customHeight="1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3"/>
      <c r="T968" s="72"/>
      <c r="U968" s="72"/>
      <c r="V968" s="72"/>
      <c r="W968" s="72"/>
      <c r="X968" s="72"/>
      <c r="Y968" s="72"/>
      <c r="Z968" s="72"/>
    </row>
    <row r="969" ht="15.75" customHeight="1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3"/>
      <c r="T969" s="72"/>
      <c r="U969" s="72"/>
      <c r="V969" s="72"/>
      <c r="W969" s="72"/>
      <c r="X969" s="72"/>
      <c r="Y969" s="72"/>
      <c r="Z969" s="72"/>
    </row>
    <row r="970" ht="15.75" customHeight="1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3"/>
      <c r="T970" s="72"/>
      <c r="U970" s="72"/>
      <c r="V970" s="72"/>
      <c r="W970" s="72"/>
      <c r="X970" s="72"/>
      <c r="Y970" s="72"/>
      <c r="Z970" s="72"/>
    </row>
    <row r="971" ht="15.75" customHeight="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3"/>
      <c r="T971" s="72"/>
      <c r="U971" s="72"/>
      <c r="V971" s="72"/>
      <c r="W971" s="72"/>
      <c r="X971" s="72"/>
      <c r="Y971" s="72"/>
      <c r="Z971" s="72"/>
    </row>
    <row r="972" ht="15.75" customHeight="1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3"/>
      <c r="T972" s="72"/>
      <c r="U972" s="72"/>
      <c r="V972" s="72"/>
      <c r="W972" s="72"/>
      <c r="X972" s="72"/>
      <c r="Y972" s="72"/>
      <c r="Z972" s="72"/>
    </row>
    <row r="973" ht="15.75" customHeight="1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3"/>
      <c r="T973" s="72"/>
      <c r="U973" s="72"/>
      <c r="V973" s="72"/>
      <c r="W973" s="72"/>
      <c r="X973" s="72"/>
      <c r="Y973" s="72"/>
      <c r="Z973" s="72"/>
    </row>
    <row r="974" ht="15.75" customHeight="1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3"/>
      <c r="T974" s="72"/>
      <c r="U974" s="72"/>
      <c r="V974" s="72"/>
      <c r="W974" s="72"/>
      <c r="X974" s="72"/>
      <c r="Y974" s="72"/>
      <c r="Z974" s="72"/>
    </row>
    <row r="975" ht="15.75" customHeight="1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3"/>
      <c r="T975" s="72"/>
      <c r="U975" s="72"/>
      <c r="V975" s="72"/>
      <c r="W975" s="72"/>
      <c r="X975" s="72"/>
      <c r="Y975" s="72"/>
      <c r="Z975" s="72"/>
    </row>
    <row r="976" ht="15.75" customHeight="1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3"/>
      <c r="T976" s="72"/>
      <c r="U976" s="72"/>
      <c r="V976" s="72"/>
      <c r="W976" s="72"/>
      <c r="X976" s="72"/>
      <c r="Y976" s="72"/>
      <c r="Z976" s="72"/>
    </row>
    <row r="977" ht="15.75" customHeight="1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3"/>
      <c r="T977" s="72"/>
      <c r="U977" s="72"/>
      <c r="V977" s="72"/>
      <c r="W977" s="72"/>
      <c r="X977" s="72"/>
      <c r="Y977" s="72"/>
      <c r="Z977" s="72"/>
    </row>
    <row r="978" ht="15.75" customHeight="1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3"/>
      <c r="T978" s="72"/>
      <c r="U978" s="72"/>
      <c r="V978" s="72"/>
      <c r="W978" s="72"/>
      <c r="X978" s="72"/>
      <c r="Y978" s="72"/>
      <c r="Z978" s="72"/>
    </row>
    <row r="979" ht="15.75" customHeight="1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3"/>
      <c r="T979" s="72"/>
      <c r="U979" s="72"/>
      <c r="V979" s="72"/>
      <c r="W979" s="72"/>
      <c r="X979" s="72"/>
      <c r="Y979" s="72"/>
      <c r="Z979" s="72"/>
    </row>
    <row r="980" ht="15.75" customHeight="1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3"/>
      <c r="T980" s="72"/>
      <c r="U980" s="72"/>
      <c r="V980" s="72"/>
      <c r="W980" s="72"/>
      <c r="X980" s="72"/>
      <c r="Y980" s="72"/>
      <c r="Z980" s="72"/>
    </row>
    <row r="981" ht="15.75" customHeight="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3"/>
      <c r="T981" s="72"/>
      <c r="U981" s="72"/>
      <c r="V981" s="72"/>
      <c r="W981" s="72"/>
      <c r="X981" s="72"/>
      <c r="Y981" s="72"/>
      <c r="Z981" s="72"/>
    </row>
    <row r="982" ht="15.75" customHeight="1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3"/>
      <c r="T982" s="72"/>
      <c r="U982" s="72"/>
      <c r="V982" s="72"/>
      <c r="W982" s="72"/>
      <c r="X982" s="72"/>
      <c r="Y982" s="72"/>
      <c r="Z982" s="72"/>
    </row>
    <row r="983" ht="15.75" customHeight="1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3"/>
      <c r="T983" s="72"/>
      <c r="U983" s="72"/>
      <c r="V983" s="72"/>
      <c r="W983" s="72"/>
      <c r="X983" s="72"/>
      <c r="Y983" s="72"/>
      <c r="Z983" s="72"/>
    </row>
    <row r="984" ht="15.75" customHeight="1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3"/>
      <c r="T984" s="72"/>
      <c r="U984" s="72"/>
      <c r="V984" s="72"/>
      <c r="W984" s="72"/>
      <c r="X984" s="72"/>
      <c r="Y984" s="72"/>
      <c r="Z984" s="72"/>
    </row>
    <row r="985" ht="15.75" customHeight="1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3"/>
      <c r="T985" s="72"/>
      <c r="U985" s="72"/>
      <c r="V985" s="72"/>
      <c r="W985" s="72"/>
      <c r="X985" s="72"/>
      <c r="Y985" s="72"/>
      <c r="Z985" s="72"/>
    </row>
    <row r="986" ht="15.75" customHeight="1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3"/>
      <c r="T986" s="72"/>
      <c r="U986" s="72"/>
      <c r="V986" s="72"/>
      <c r="W986" s="72"/>
      <c r="X986" s="72"/>
      <c r="Y986" s="72"/>
      <c r="Z986" s="72"/>
    </row>
    <row r="987" ht="15.75" customHeight="1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3"/>
      <c r="T987" s="72"/>
      <c r="U987" s="72"/>
      <c r="V987" s="72"/>
      <c r="W987" s="72"/>
      <c r="X987" s="72"/>
      <c r="Y987" s="72"/>
      <c r="Z987" s="72"/>
    </row>
    <row r="988" ht="15.75" customHeight="1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3"/>
      <c r="T988" s="72"/>
      <c r="U988" s="72"/>
      <c r="V988" s="72"/>
      <c r="W988" s="72"/>
      <c r="X988" s="72"/>
      <c r="Y988" s="72"/>
      <c r="Z988" s="72"/>
    </row>
    <row r="989" ht="15.75" customHeight="1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3"/>
      <c r="T989" s="72"/>
      <c r="U989" s="72"/>
      <c r="V989" s="72"/>
      <c r="W989" s="72"/>
      <c r="X989" s="72"/>
      <c r="Y989" s="72"/>
      <c r="Z989" s="72"/>
    </row>
    <row r="990" ht="15.75" customHeight="1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3"/>
      <c r="T990" s="72"/>
      <c r="U990" s="72"/>
      <c r="V990" s="72"/>
      <c r="W990" s="72"/>
      <c r="X990" s="72"/>
      <c r="Y990" s="72"/>
      <c r="Z990" s="72"/>
    </row>
    <row r="991" ht="15.75" customHeight="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3"/>
      <c r="T991" s="72"/>
      <c r="U991" s="72"/>
      <c r="V991" s="72"/>
      <c r="W991" s="72"/>
      <c r="X991" s="72"/>
      <c r="Y991" s="72"/>
      <c r="Z991" s="72"/>
    </row>
    <row r="992" ht="15.75" customHeight="1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3"/>
      <c r="T992" s="72"/>
      <c r="U992" s="72"/>
      <c r="V992" s="72"/>
      <c r="W992" s="72"/>
      <c r="X992" s="72"/>
      <c r="Y992" s="72"/>
      <c r="Z992" s="72"/>
    </row>
    <row r="993" ht="15.75" customHeight="1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3"/>
      <c r="T993" s="72"/>
      <c r="U993" s="72"/>
      <c r="V993" s="72"/>
      <c r="W993" s="72"/>
      <c r="X993" s="72"/>
      <c r="Y993" s="72"/>
      <c r="Z993" s="72"/>
    </row>
    <row r="994" ht="15.75" customHeight="1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3"/>
      <c r="T994" s="72"/>
      <c r="U994" s="72"/>
      <c r="V994" s="72"/>
      <c r="W994" s="72"/>
      <c r="X994" s="72"/>
      <c r="Y994" s="72"/>
      <c r="Z994" s="72"/>
    </row>
    <row r="995" ht="15.75" customHeight="1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3"/>
      <c r="T995" s="72"/>
      <c r="U995" s="72"/>
      <c r="V995" s="72"/>
      <c r="W995" s="72"/>
      <c r="X995" s="72"/>
      <c r="Y995" s="72"/>
      <c r="Z995" s="72"/>
    </row>
    <row r="996" ht="15.75" customHeight="1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3"/>
      <c r="T996" s="72"/>
      <c r="U996" s="72"/>
      <c r="V996" s="72"/>
      <c r="W996" s="72"/>
      <c r="X996" s="72"/>
      <c r="Y996" s="72"/>
      <c r="Z996" s="72"/>
    </row>
    <row r="997" ht="15.75" customHeight="1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3"/>
      <c r="T997" s="72"/>
      <c r="U997" s="72"/>
      <c r="V997" s="72"/>
      <c r="W997" s="72"/>
      <c r="X997" s="72"/>
      <c r="Y997" s="72"/>
      <c r="Z997" s="72"/>
    </row>
    <row r="998" ht="15.75" customHeight="1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3"/>
      <c r="T998" s="72"/>
      <c r="U998" s="72"/>
      <c r="V998" s="72"/>
      <c r="W998" s="72"/>
      <c r="X998" s="72"/>
      <c r="Y998" s="72"/>
      <c r="Z998" s="72"/>
    </row>
    <row r="999" ht="15.75" customHeight="1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3"/>
      <c r="T999" s="72"/>
      <c r="U999" s="72"/>
      <c r="V999" s="72"/>
      <c r="W999" s="72"/>
      <c r="X999" s="72"/>
      <c r="Y999" s="72"/>
      <c r="Z999" s="72"/>
    </row>
    <row r="1000" ht="15.75" customHeight="1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3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315277777777778" right="0.315277777777778" top="0.393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8" width="9.11"/>
    <col customWidth="1" min="9" max="9" width="16.44"/>
    <col customWidth="1" min="10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74" t="s">
        <v>62</v>
      </c>
      <c r="B5" s="25"/>
      <c r="C5" s="25"/>
      <c r="D5" s="25"/>
      <c r="E5" s="25"/>
      <c r="F5" s="25"/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2293426095</v>
      </c>
      <c r="E8" s="32">
        <v>2.2290384E7</v>
      </c>
      <c r="F8" s="33">
        <f t="shared" ref="F8:F30" si="1">D8/E8/365*1000</f>
        <v>281.8865375</v>
      </c>
      <c r="G8" s="11"/>
      <c r="H8" s="28"/>
      <c r="I8" s="34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75">
        <f>299741356+146580494</f>
        <v>446321850</v>
      </c>
      <c r="E9" s="75">
        <v>3937555.0</v>
      </c>
      <c r="F9" s="54">
        <f t="shared" si="1"/>
        <v>310.5479388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8.0" customHeight="1">
      <c r="A10" s="37" t="s">
        <v>27</v>
      </c>
      <c r="C10" s="38"/>
      <c r="D10" s="75">
        <v>3.08374892E8</v>
      </c>
      <c r="E10" s="53">
        <v>2558535.0</v>
      </c>
      <c r="F10" s="54">
        <f t="shared" si="1"/>
        <v>330.213469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3">
        <v>2.13737584E8</v>
      </c>
      <c r="E11" s="53">
        <v>2191580.0</v>
      </c>
      <c r="F11" s="54">
        <f t="shared" si="1"/>
        <v>267.1964619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3">
        <v>2.72952412E8</v>
      </c>
      <c r="E12" s="53">
        <v>2716376.0</v>
      </c>
      <c r="F12" s="54">
        <f t="shared" si="1"/>
        <v>275.2987169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3">
        <v>1.81450363E8</v>
      </c>
      <c r="E13" s="53">
        <v>1850647.0</v>
      </c>
      <c r="F13" s="54">
        <f t="shared" si="1"/>
        <v>268.6218832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3">
        <v>2.64099389E8</v>
      </c>
      <c r="E14" s="53">
        <v>2660966.0</v>
      </c>
      <c r="F14" s="54">
        <f t="shared" si="1"/>
        <v>271.9162777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3">
        <v>4.5087026E7</v>
      </c>
      <c r="E15" s="53">
        <v>432718.0</v>
      </c>
      <c r="F15" s="54">
        <f t="shared" si="1"/>
        <v>285.4655887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3">
        <v>4.8913982E7</v>
      </c>
      <c r="E16" s="53">
        <v>511882.0</v>
      </c>
      <c r="F16" s="54">
        <f t="shared" si="1"/>
        <v>261.8003946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3">
        <v>4.2313146E7</v>
      </c>
      <c r="E17" s="53">
        <v>460216.0</v>
      </c>
      <c r="F17" s="54">
        <f t="shared" si="1"/>
        <v>251.8956911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3">
        <v>9.8909219E7</v>
      </c>
      <c r="E18" s="53">
        <v>1191222.0</v>
      </c>
      <c r="F18" s="54">
        <f t="shared" si="1"/>
        <v>227.4841815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3">
        <v>3.8955436E7</v>
      </c>
      <c r="E19" s="53">
        <v>396074.0</v>
      </c>
      <c r="F19" s="54">
        <f t="shared" si="1"/>
        <v>269.4628325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3">
        <v>6.3914832E7</v>
      </c>
      <c r="E20" s="53">
        <v>638244.0</v>
      </c>
      <c r="F20" s="54">
        <f t="shared" si="1"/>
        <v>274.3607911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3">
        <v>4.3641791E7</v>
      </c>
      <c r="E21" s="53">
        <v>454038.0</v>
      </c>
      <c r="F21" s="54">
        <f t="shared" si="1"/>
        <v>263.3404047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3">
        <v>4.3457786E7</v>
      </c>
      <c r="E22" s="53">
        <v>499453.0</v>
      </c>
      <c r="F22" s="54">
        <f t="shared" si="1"/>
        <v>238.3856487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3">
        <v>1.8463932E7</v>
      </c>
      <c r="E23" s="53">
        <v>180230.0</v>
      </c>
      <c r="F23" s="54">
        <f t="shared" si="1"/>
        <v>280.6753319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3">
        <v>3.0271572E7</v>
      </c>
      <c r="E24" s="53">
        <v>289834.0</v>
      </c>
      <c r="F24" s="54">
        <f t="shared" si="1"/>
        <v>286.1493603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3">
        <v>8274853.0</v>
      </c>
      <c r="E25" s="53">
        <v>99014.0</v>
      </c>
      <c r="F25" s="54">
        <f t="shared" si="1"/>
        <v>228.9659052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3">
        <v>3.9881874E7</v>
      </c>
      <c r="E26" s="53">
        <v>363881.0</v>
      </c>
      <c r="F26" s="54">
        <f t="shared" si="1"/>
        <v>300.2778607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3">
        <v>4.9950406E7</v>
      </c>
      <c r="E27" s="53">
        <v>448080.0</v>
      </c>
      <c r="F27" s="54">
        <f t="shared" si="1"/>
        <v>305.4151656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3">
        <v>2.7700356E7</v>
      </c>
      <c r="E28" s="54">
        <v>265081.0</v>
      </c>
      <c r="F28" s="54">
        <f t="shared" si="1"/>
        <v>286.2950808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5922167.0</v>
      </c>
      <c r="E29" s="53">
        <v>133381.0</v>
      </c>
      <c r="F29" s="54">
        <f t="shared" si="1"/>
        <v>121.644875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76">
        <v>831227.0</v>
      </c>
      <c r="E30" s="57">
        <v>11380.0</v>
      </c>
      <c r="F30" s="58">
        <f t="shared" si="1"/>
        <v>200.1172449</v>
      </c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63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63.75" customHeight="1">
      <c r="A32" s="3"/>
      <c r="B32" s="3"/>
      <c r="C32" s="3"/>
      <c r="D32" s="63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3.0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64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196527777777778" footer="0.0" header="0.0" left="0.315277777777778" right="0.315277777777778" top="0.39375"/>
  <pageSetup paperSize="9" orientation="portrait"/>
  <drawing r:id="rId1"/>
</worksheet>
</file>
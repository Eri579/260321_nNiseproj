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10882\Desktop\資料夾彙總\上網\temp\"/>
    </mc:Choice>
  </mc:AlternateContent>
  <bookViews>
    <workbookView xWindow="120" yWindow="75" windowWidth="11745" windowHeight="6780"/>
  </bookViews>
  <sheets>
    <sheet name="表" sheetId="1" r:id="rId1"/>
    <sheet name="表(續1)" sheetId="2" r:id="rId2"/>
    <sheet name="表(續2)" sheetId="3" r:id="rId3"/>
    <sheet name="表(續3)" sheetId="4" r:id="rId4"/>
    <sheet name="表(續4)" sheetId="5" r:id="rId5"/>
    <sheet name="表(續5)" sheetId="6" r:id="rId6"/>
    <sheet name="表(續6完)" sheetId="7" r:id="rId7"/>
  </sheets>
  <calcPr calcId="162913"/>
</workbook>
</file>

<file path=xl/calcChain.xml><?xml version="1.0" encoding="utf-8"?>
<calcChain xmlns="http://schemas.openxmlformats.org/spreadsheetml/2006/main">
  <c r="A59" i="1" l="1"/>
  <c r="I59" i="1"/>
  <c r="A60" i="1"/>
  <c r="I60" i="1"/>
  <c r="A61" i="1"/>
  <c r="I61" i="1"/>
</calcChain>
</file>

<file path=xl/sharedStrings.xml><?xml version="1.0" encoding="utf-8"?>
<sst xmlns="http://schemas.openxmlformats.org/spreadsheetml/2006/main" count="1378" uniqueCount="818">
  <si>
    <t>名　　　　稱</t>
    <phoneticPr fontId="2" type="noConversion"/>
  </si>
  <si>
    <t>小
類</t>
    <phoneticPr fontId="2" type="noConversion"/>
  </si>
  <si>
    <t>銷　　售　　額</t>
    <phoneticPr fontId="2" type="noConversion"/>
  </si>
  <si>
    <r>
      <t xml:space="preserve">家數 </t>
    </r>
    <r>
      <rPr>
        <sz val="8.25"/>
        <rFont val="新細明體"/>
        <family val="1"/>
        <charset val="136"/>
      </rPr>
      <t>Unit</t>
    </r>
    <phoneticPr fontId="2" type="noConversion"/>
  </si>
  <si>
    <t>Sales</t>
    <phoneticPr fontId="2" type="noConversion"/>
  </si>
  <si>
    <t>Industrial</t>
    <phoneticPr fontId="2" type="noConversion"/>
  </si>
  <si>
    <t>Group</t>
    <phoneticPr fontId="2" type="noConversion"/>
  </si>
  <si>
    <t>Divi-
sion</t>
    <phoneticPr fontId="2" type="noConversion"/>
  </si>
  <si>
    <t>Sec-
tion</t>
    <phoneticPr fontId="2" type="noConversion"/>
  </si>
  <si>
    <t>名　　　　稱</t>
    <phoneticPr fontId="2" type="noConversion"/>
  </si>
  <si>
    <r>
      <t xml:space="preserve">家數 </t>
    </r>
    <r>
      <rPr>
        <sz val="8.25"/>
        <rFont val="新細明體"/>
        <family val="1"/>
        <charset val="136"/>
      </rPr>
      <t>Unit</t>
    </r>
    <phoneticPr fontId="2" type="noConversion"/>
  </si>
  <si>
    <t>銷　　售　　額</t>
    <phoneticPr fontId="2" type="noConversion"/>
  </si>
  <si>
    <t>Sales</t>
    <phoneticPr fontId="2" type="noConversion"/>
  </si>
  <si>
    <t>Industrial</t>
    <phoneticPr fontId="2" type="noConversion"/>
  </si>
  <si>
    <t>Group</t>
    <phoneticPr fontId="2" type="noConversion"/>
  </si>
  <si>
    <t>Divi-
sion</t>
    <phoneticPr fontId="2" type="noConversion"/>
  </si>
  <si>
    <t>Sec-
tion</t>
    <phoneticPr fontId="2" type="noConversion"/>
  </si>
  <si>
    <t>Unit：Unit；NT$ Million</t>
    <phoneticPr fontId="2" type="noConversion"/>
  </si>
  <si>
    <t>Unit：Unit；NT$ Million</t>
    <phoneticPr fontId="2" type="noConversion"/>
  </si>
  <si>
    <t>名　　　　稱</t>
    <phoneticPr fontId="2" type="noConversion"/>
  </si>
  <si>
    <r>
      <t xml:space="preserve">家數 </t>
    </r>
    <r>
      <rPr>
        <sz val="8.25"/>
        <rFont val="新細明體"/>
        <family val="1"/>
        <charset val="136"/>
      </rPr>
      <t>Unit</t>
    </r>
    <phoneticPr fontId="2" type="noConversion"/>
  </si>
  <si>
    <t>銷　　售　　額</t>
    <phoneticPr fontId="2" type="noConversion"/>
  </si>
  <si>
    <t>Sales</t>
    <phoneticPr fontId="2" type="noConversion"/>
  </si>
  <si>
    <t>Industrial</t>
    <phoneticPr fontId="2" type="noConversion"/>
  </si>
  <si>
    <t>Group</t>
    <phoneticPr fontId="2" type="noConversion"/>
  </si>
  <si>
    <t>Divi-
sion</t>
    <phoneticPr fontId="2" type="noConversion"/>
  </si>
  <si>
    <t>Sec-
tion</t>
    <phoneticPr fontId="2" type="noConversion"/>
  </si>
  <si>
    <t>Unit：Unit；NT$ Million</t>
    <phoneticPr fontId="2" type="noConversion"/>
  </si>
  <si>
    <t>名　　　　稱</t>
    <phoneticPr fontId="2" type="noConversion"/>
  </si>
  <si>
    <t>銷　　售　　額</t>
    <phoneticPr fontId="2" type="noConversion"/>
  </si>
  <si>
    <t>Sales</t>
    <phoneticPr fontId="2" type="noConversion"/>
  </si>
  <si>
    <t>Industrial</t>
    <phoneticPr fontId="2" type="noConversion"/>
  </si>
  <si>
    <t>Group</t>
    <phoneticPr fontId="2" type="noConversion"/>
  </si>
  <si>
    <t>Divi-
sion</t>
    <phoneticPr fontId="2" type="noConversion"/>
  </si>
  <si>
    <t>Sec-
tion</t>
    <phoneticPr fontId="2" type="noConversion"/>
  </si>
  <si>
    <t>大
類</t>
    <phoneticPr fontId="2" type="noConversion"/>
  </si>
  <si>
    <t>中
類</t>
    <phoneticPr fontId="2" type="noConversion"/>
  </si>
  <si>
    <t>單位：家；新臺幣百萬元</t>
  </si>
  <si>
    <t>單位：家；新臺幣百萬元</t>
    <phoneticPr fontId="2" type="noConversion"/>
  </si>
  <si>
    <t>單位：家；新臺幣百萬元</t>
    <phoneticPr fontId="2" type="noConversion"/>
  </si>
  <si>
    <t>增減率</t>
    <phoneticPr fontId="2" type="noConversion"/>
  </si>
  <si>
    <t>Growth Rate</t>
    <phoneticPr fontId="2" type="noConversion"/>
  </si>
  <si>
    <t>(D)表示不陳示數值以保護個別資料。</t>
  </si>
  <si>
    <t xml:space="preserve"> 本表資料分類自112年1月起改採「中華民國稅務行業標準分類(第9次修訂)」，由於適用版本不同，112年銷售
額增減率尚無法計算，故不予陳示。</t>
  </si>
  <si>
    <t>農、林、漁、牧業</t>
  </si>
  <si>
    <t>　農、牧業</t>
  </si>
  <si>
    <t>　　農作物栽培業</t>
  </si>
  <si>
    <t>　　畜牧業</t>
  </si>
  <si>
    <t>　　農事及畜牧服務業</t>
  </si>
  <si>
    <t>　林業</t>
  </si>
  <si>
    <t>　　林業</t>
  </si>
  <si>
    <t>　漁業</t>
  </si>
  <si>
    <t>　　漁撈業</t>
  </si>
  <si>
    <t>　　水產養殖業</t>
  </si>
  <si>
    <t>礦業及土石採取業</t>
  </si>
  <si>
    <t>　石油及天然氣礦業</t>
  </si>
  <si>
    <t>　　石油及天然氣礦業</t>
  </si>
  <si>
    <t>　砂、石採取及其他礦業</t>
  </si>
  <si>
    <t>　　砂、石採取及其他礦業</t>
  </si>
  <si>
    <t>製造業</t>
  </si>
  <si>
    <t>　食品及飼品製造業</t>
  </si>
  <si>
    <t>　　肉類加工及保藏業</t>
  </si>
  <si>
    <t>　　水產加工及保藏業</t>
  </si>
  <si>
    <t>　　蔬果加工及保藏業</t>
  </si>
  <si>
    <t>　　動植物油脂製造業</t>
  </si>
  <si>
    <t>　　乳品製造業</t>
  </si>
  <si>
    <t>　　碾穀、磨粉及澱粉製品製造業</t>
  </si>
  <si>
    <t>　　動物飼品製造業</t>
  </si>
  <si>
    <t>　　其他食品製造業</t>
  </si>
  <si>
    <t>　飲料製造業</t>
  </si>
  <si>
    <t>　　酒精飲料製造業</t>
  </si>
  <si>
    <t>　　非酒精飲料製造業</t>
  </si>
  <si>
    <t>　菸草製造業</t>
  </si>
  <si>
    <t>　　菸草製造業</t>
  </si>
  <si>
    <t>　紡織業</t>
  </si>
  <si>
    <t>　　紡紗業</t>
  </si>
  <si>
    <t>　　織布業</t>
  </si>
  <si>
    <t>　　不織布業</t>
  </si>
  <si>
    <t>　　染整業</t>
  </si>
  <si>
    <t>　　紡織品製造業</t>
  </si>
  <si>
    <t>　成衣及服飾品製造業</t>
  </si>
  <si>
    <t>　　成衣製造業</t>
  </si>
  <si>
    <t>　　服飾品製造業</t>
  </si>
  <si>
    <t>　皮革、毛皮及其製品製造業</t>
  </si>
  <si>
    <t>　　皮革、毛皮及其製品製造業</t>
  </si>
  <si>
    <t>　木竹製品製造業</t>
  </si>
  <si>
    <t>　　木竹製品製造業</t>
  </si>
  <si>
    <t>　紙漿、紙及紙製品製造業</t>
  </si>
  <si>
    <t>　　紙漿、紙及紙板製造業</t>
  </si>
  <si>
    <t>　　瓦楞紙板及紙容器製造業</t>
  </si>
  <si>
    <t>　　其他紙製品製造業</t>
  </si>
  <si>
    <t>　印刷及資料儲存媒體複製業</t>
  </si>
  <si>
    <t>　　印刷及資料儲存媒體複製業</t>
  </si>
  <si>
    <t>A</t>
  </si>
  <si>
    <t>B</t>
  </si>
  <si>
    <t>C</t>
  </si>
  <si>
    <t>112年 7月</t>
  </si>
  <si>
    <t>112年 8月</t>
  </si>
  <si>
    <t>112年 9月</t>
  </si>
  <si>
    <t xml:space="preserve"> Dec. 2023</t>
  </si>
  <si>
    <t xml:space="preserve"> July 2023</t>
  </si>
  <si>
    <t xml:space="preserve"> Aug. 2023</t>
  </si>
  <si>
    <t xml:space="preserve"> Sept. 2023</t>
  </si>
  <si>
    <t>附　　註：</t>
  </si>
  <si>
    <t>說　　明：</t>
  </si>
  <si>
    <t>總計</t>
  </si>
  <si>
    <t>112年12月</t>
  </si>
  <si>
    <t>表3-9. 營利事業家數及銷售額－按稅務小行業別分</t>
  </si>
  <si>
    <t>(D)The figures are replaced with asterisks due to a concern of privacy.</t>
  </si>
  <si>
    <t>Since Jan. 2023, the figures are reclassified according to the ninth revision of Standard Industrial Classification on Taxation 
of the Republic of China, thus, the growth rate of sales in 2023 couldn't be to calculated.</t>
  </si>
  <si>
    <t xml:space="preserve">        --</t>
  </si>
  <si>
    <t>Grand Total</t>
  </si>
  <si>
    <t>Agriculture, Forestry, Fishing and Animal Husbandry</t>
  </si>
  <si>
    <t xml:space="preserve">  Agriculture and Animal Husbandry</t>
  </si>
  <si>
    <t xml:space="preserve">    Growing of Crops</t>
  </si>
  <si>
    <t xml:space="preserve">    Animal Husbandry</t>
  </si>
  <si>
    <t xml:space="preserve">    Support Activities to Agricultural and Animal Husbandry</t>
  </si>
  <si>
    <t xml:space="preserve">  Forestry</t>
  </si>
  <si>
    <t xml:space="preserve">    Forestry</t>
  </si>
  <si>
    <t xml:space="preserve">  Fishing and Aquaculture</t>
  </si>
  <si>
    <t xml:space="preserve">    Fishing</t>
  </si>
  <si>
    <t xml:space="preserve">    Aquaculture</t>
  </si>
  <si>
    <t>Mining and Quarrying</t>
  </si>
  <si>
    <t xml:space="preserve">  Extraction of Crude Petroleum and Natural Gas</t>
  </si>
  <si>
    <t xml:space="preserve">    Extraction of Crude Petroleum and Natural Gas</t>
  </si>
  <si>
    <t xml:space="preserve">  Quarrying of Stone, Sand, Clay and Other Mining</t>
  </si>
  <si>
    <t xml:space="preserve">    Quarrying of Stone, Sand, Clay and Other Mining</t>
  </si>
  <si>
    <t>Manufacturing</t>
  </si>
  <si>
    <t xml:space="preserve">  Manufacture of Food Products and Prepared Animal Feeds</t>
  </si>
  <si>
    <t xml:space="preserve">    Processing and Preserving of Meat</t>
  </si>
  <si>
    <t xml:space="preserve">    Processing and Preserving of Fish, Crustaceans and Molluscs</t>
  </si>
  <si>
    <t xml:space="preserve">    Processing and Preserving of Fruit and Vegetables</t>
  </si>
  <si>
    <t xml:space="preserve">    Manufacture of Edible Vegetable and Animal Oils and Fats</t>
  </si>
  <si>
    <t xml:space="preserve">    Manufacture of Dairy Products</t>
  </si>
  <si>
    <t xml:space="preserve">    Grain Husking, Manufacture of Grain Mill Products, 
    Starches and Starch Products</t>
  </si>
  <si>
    <t xml:space="preserve">    Manufacture of Prepared Animal Feeds</t>
  </si>
  <si>
    <t xml:space="preserve">    Manufacture of Other Food Products</t>
  </si>
  <si>
    <t xml:space="preserve">  Manufacture of Beverages</t>
  </si>
  <si>
    <t xml:space="preserve">    Manufacture of Alcoholic Beverages</t>
  </si>
  <si>
    <t xml:space="preserve">    Manufacture of Non-alcoholic Beverages</t>
  </si>
  <si>
    <t xml:space="preserve">  Manufacture of Tobacco Products</t>
  </si>
  <si>
    <t xml:space="preserve">    Manufacture of Tobacco Products</t>
  </si>
  <si>
    <t xml:space="preserve">  Manufacture of Textiles</t>
  </si>
  <si>
    <t xml:space="preserve">    Spinning of Yarn</t>
  </si>
  <si>
    <t xml:space="preserve">    Weaving of Textiles</t>
  </si>
  <si>
    <t xml:space="preserve">    Manufacture of Non-woven Fabrics</t>
  </si>
  <si>
    <t xml:space="preserve">    Finishing of Textiles</t>
  </si>
  <si>
    <t xml:space="preserve">    Manufacture of Textile Products</t>
  </si>
  <si>
    <t xml:space="preserve">  Manufacture of Wearing Apparel and Clothing Accessories</t>
  </si>
  <si>
    <t xml:space="preserve">    Manufacture of Wearing Apparel</t>
  </si>
  <si>
    <t xml:space="preserve">    Manufacture of Clothing Accessories</t>
  </si>
  <si>
    <t xml:space="preserve">  Manufacture of Leather, Fur and Related Products</t>
  </si>
  <si>
    <t xml:space="preserve">    Manufacture of Leather, Fur and Related Products</t>
  </si>
  <si>
    <t xml:space="preserve">  Manufacture of Wood and of Products of Wood and Bamboo</t>
  </si>
  <si>
    <t xml:space="preserve">    Manufacture of Wood and of Products of Wood and Bamboo</t>
  </si>
  <si>
    <t xml:space="preserve">  Manufacture of Paper and Paper Products</t>
  </si>
  <si>
    <t xml:space="preserve">    Manufacture of Pulp, Paper and Paperboard</t>
  </si>
  <si>
    <t xml:space="preserve">    Manufacture of Containers of Paper and Paperboard</t>
  </si>
  <si>
    <t xml:space="preserve">    Manufacture of Other Paper Products</t>
  </si>
  <si>
    <t xml:space="preserve">  Printing and Reproduction of Recorded Media</t>
  </si>
  <si>
    <t xml:space="preserve">    Printing and Reproduction of Recorded Media</t>
  </si>
  <si>
    <t>112年11月</t>
  </si>
  <si>
    <t xml:space="preserve"> Oct. 2023</t>
  </si>
  <si>
    <t xml:space="preserve"> Nov. 2023</t>
  </si>
  <si>
    <t>Jan. -  Dec. 2023</t>
  </si>
  <si>
    <t>Note：</t>
  </si>
  <si>
    <t>Explanation：</t>
  </si>
  <si>
    <t>112年</t>
  </si>
  <si>
    <t>112年10月</t>
  </si>
  <si>
    <t>Table 3-9.  Business Units and Sales－by Industrial Classification on Taxation</t>
  </si>
  <si>
    <t>　　石油及煤製品製造業</t>
  </si>
  <si>
    <t>　化學材料及肥料製造業</t>
  </si>
  <si>
    <t>　　化學原材料製造業</t>
  </si>
  <si>
    <t>　　肥料及氮化合物製造業</t>
  </si>
  <si>
    <t>　　塑膠及合成橡膠原料製造業</t>
  </si>
  <si>
    <t>　　人造纖維製造業</t>
  </si>
  <si>
    <t>　其他化學製品製造業</t>
  </si>
  <si>
    <t>　　農藥及環境用藥製造業</t>
  </si>
  <si>
    <t>　　塗料、染料及顏料製造業</t>
  </si>
  <si>
    <t>　　清潔用品及化粧品製造業</t>
  </si>
  <si>
    <t>　　未分類其他化學製品製造業</t>
  </si>
  <si>
    <t>　藥品及醫用化學製品製造業</t>
  </si>
  <si>
    <t>　　藥品及醫用化學製品製造業</t>
  </si>
  <si>
    <t>　橡膠製品製造業</t>
  </si>
  <si>
    <t>　　橡膠製品製造業</t>
  </si>
  <si>
    <t>　塑膠製品製造業</t>
  </si>
  <si>
    <t>　　塑膠製品製造業</t>
  </si>
  <si>
    <t>　非金屬礦物製品製造業</t>
  </si>
  <si>
    <t>　　玻璃及其製品製造業</t>
  </si>
  <si>
    <t>　　耐火、黏土建材及其他陶瓷製品製造業</t>
  </si>
  <si>
    <t>　　水泥及其製品製造業</t>
  </si>
  <si>
    <t>　　石材製品製造業</t>
  </si>
  <si>
    <t>　　其他非金屬礦物製品製造業</t>
  </si>
  <si>
    <t>　基本金屬製造業</t>
  </si>
  <si>
    <t>　　鋼鐵製造業</t>
  </si>
  <si>
    <t>　　鋁製造業</t>
  </si>
  <si>
    <t>　　銅製造業</t>
  </si>
  <si>
    <t>　　其他基本金屬製造業</t>
  </si>
  <si>
    <t>　金屬製品製造業</t>
  </si>
  <si>
    <t>　　金屬刀具、手工具及模具製造業</t>
  </si>
  <si>
    <t>　　金屬結構及建築組件製造業</t>
  </si>
  <si>
    <t>　　金屬容器製造業</t>
  </si>
  <si>
    <t>　　金屬加工處理業</t>
  </si>
  <si>
    <t>　　其他金屬製品製造業</t>
  </si>
  <si>
    <t>　電子零組件製造業</t>
  </si>
  <si>
    <t>　　半導體製造業</t>
  </si>
  <si>
    <t>　　被動電子元件製造業</t>
  </si>
  <si>
    <t>　　印刷電路板製造業</t>
  </si>
  <si>
    <t>　　光電材料及元件製造業</t>
  </si>
  <si>
    <t>　　其他電子零組件製造業</t>
  </si>
  <si>
    <t>　電腦、電子產品及光學製品製造業</t>
  </si>
  <si>
    <t>　　電腦及其週邊設備製造業</t>
  </si>
  <si>
    <t>　　通訊傳播設備製造業</t>
  </si>
  <si>
    <t>　　視聽電子產品製造業</t>
  </si>
  <si>
    <t>　　資料儲存媒體製造業</t>
  </si>
  <si>
    <t>　　量測、導航、控制設備及鐘錶製造業</t>
  </si>
  <si>
    <t>　　輻射及電子醫學設備製造業</t>
  </si>
  <si>
    <t>　　光學儀器及設備製造業</t>
  </si>
  <si>
    <t>　電力設備及配備製造業</t>
  </si>
  <si>
    <t>　　發電、輸電及配電機械製造業</t>
  </si>
  <si>
    <t>　石油及煤製品製造業</t>
  </si>
  <si>
    <t>表3-9. 營利事業家數及銷售額－按稅務小行業別分(續1)</t>
  </si>
  <si>
    <t xml:space="preserve">  Manufacture of Petroleum and Coal Products</t>
  </si>
  <si>
    <t xml:space="preserve">    Manufacture of Petroleum and Coal Products</t>
  </si>
  <si>
    <t xml:space="preserve">  Manufacture of Chemical Material and Fertilizers</t>
  </si>
  <si>
    <t xml:space="preserve">    Manufacture of Raw Chemical Material</t>
  </si>
  <si>
    <t xml:space="preserve">    Manufacture of Fertilizers and Nitrogen Compounds</t>
  </si>
  <si>
    <t xml:space="preserve">    Manufacture of Plastic and Synthetic Rubber Materials</t>
  </si>
  <si>
    <t xml:space="preserve">    Manufacture of Man-made Fibers</t>
  </si>
  <si>
    <t xml:space="preserve">  Manufacture of Other Chemical Products</t>
  </si>
  <si>
    <t xml:space="preserve">    Manufacture of Pesticides and Environmental Agents</t>
  </si>
  <si>
    <t xml:space="preserve">    Manufacture of Coatings, Dyes and Pigments</t>
  </si>
  <si>
    <t xml:space="preserve">    Manufacture of Cleaning Preparations and Cosmetics</t>
  </si>
  <si>
    <t xml:space="preserve">    Manufacture of Other Chemical Products Not Elsewhere
    Classified</t>
  </si>
  <si>
    <t xml:space="preserve">  Manufacture of Pharmaceuticals and Medicinal Chemical Products</t>
  </si>
  <si>
    <t xml:space="preserve">    Manufacture of Pharmaceuticals and Medicinal Chemical 
    Products</t>
  </si>
  <si>
    <t xml:space="preserve">  Manufacture of Rubber Products</t>
  </si>
  <si>
    <t xml:space="preserve">    Manufacture of Rubber Products</t>
  </si>
  <si>
    <t xml:space="preserve">  Manufacture of Plastics Products</t>
  </si>
  <si>
    <t xml:space="preserve">    Manufacture of Plastics Products</t>
  </si>
  <si>
    <t xml:space="preserve">  Manufacture of Other Non-metallic Mineral Products</t>
  </si>
  <si>
    <t xml:space="preserve">    Manufacture of Glass and Glass Products</t>
  </si>
  <si>
    <t xml:space="preserve">    Manufacture of Refractory Products, Clay Building 
    Materials and Other Porcelain and Ceramic Products</t>
  </si>
  <si>
    <t xml:space="preserve">    Manufacture of Cement and Cement Products</t>
  </si>
  <si>
    <t xml:space="preserve">    Cutting, Shaping and Finishing of Stone</t>
  </si>
  <si>
    <t xml:space="preserve">    Manufacture of Other Non-metallic Mineral Products</t>
  </si>
  <si>
    <t xml:space="preserve">  Manufacture of Basic Metals</t>
  </si>
  <si>
    <t xml:space="preserve">    Manufacture of Basic Iron and Steel</t>
  </si>
  <si>
    <t xml:space="preserve">    Manufacture of Aluminum</t>
  </si>
  <si>
    <t xml:space="preserve">    Manufacture of Copper</t>
  </si>
  <si>
    <t xml:space="preserve">    Manufacture of Other Basic Metals</t>
  </si>
  <si>
    <t xml:space="preserve">  Manufacture of Fabricated Metal Products</t>
  </si>
  <si>
    <t xml:space="preserve">    Manufacture of Cutlery, Metal Hand Tools and Die</t>
  </si>
  <si>
    <t xml:space="preserve">    Manufacture of Metal Structure and Architectural 
    Components</t>
  </si>
  <si>
    <t xml:space="preserve">    Manufacture of Metal Containers</t>
  </si>
  <si>
    <t xml:space="preserve">    Metalworking Activities</t>
  </si>
  <si>
    <t xml:space="preserve">    Manufacture of Other Fabricated Metal Products</t>
  </si>
  <si>
    <t xml:space="preserve">  Manufacture of Electronic Parts and Components</t>
  </si>
  <si>
    <t xml:space="preserve">    Manufacture of Semi-conductors</t>
  </si>
  <si>
    <t xml:space="preserve">    Manufacture of Electronic Passive Devices</t>
  </si>
  <si>
    <t xml:space="preserve">    Manufacture of Bare Printed Circuit Boards</t>
  </si>
  <si>
    <t xml:space="preserve">    Manufacture of Optoelectronic Materials and Components</t>
  </si>
  <si>
    <t xml:space="preserve">    Manufacture of Other Electronic Parts and Components</t>
  </si>
  <si>
    <t xml:space="preserve">  Manufacture of Computers, Electronic and Optical Products</t>
  </si>
  <si>
    <t xml:space="preserve">    Manufacture of Computers and Peripheral Equipment</t>
  </si>
  <si>
    <t xml:space="preserve">    Manufacture of Communication Equipment</t>
  </si>
  <si>
    <t xml:space="preserve">    Manufacture of Audio and Video Equipment</t>
  </si>
  <si>
    <t xml:space="preserve">    Manufacture of Magnetic and Optical Media</t>
  </si>
  <si>
    <t xml:space="preserve">    Manufacture of Measuring, Navigating, Control Equipment, 
    Watches and Clocks</t>
  </si>
  <si>
    <t xml:space="preserve">    Manufacture of Irradiation and Electromedical Equipment</t>
  </si>
  <si>
    <t xml:space="preserve">    Manufacture of Optical Instruments and Equipment</t>
  </si>
  <si>
    <t xml:space="preserve">  Manufacture of Electrical Equipment</t>
  </si>
  <si>
    <t xml:space="preserve">    Manufacture of Power Generation, Transmission and 
    Distribution Machinery</t>
  </si>
  <si>
    <t>Table 3-9.  Business Units and Sales－by Industrial Classification on Taxation(Cont.1)</t>
  </si>
  <si>
    <t>　　電線及配線器材製造業</t>
  </si>
  <si>
    <t>　　照明設備及配備製造業</t>
  </si>
  <si>
    <t>　　家用電器製造業</t>
  </si>
  <si>
    <t>　　其他電力設備及配備製造業</t>
  </si>
  <si>
    <t>　機械設備製造業</t>
  </si>
  <si>
    <t>　　金屬加工用機械設備製造業</t>
  </si>
  <si>
    <t>　　其他專用機械設備製造業</t>
  </si>
  <si>
    <t>　　通用機械設備製造業</t>
  </si>
  <si>
    <t>　汽車及其零件製造業</t>
  </si>
  <si>
    <t>　　汽車製造業</t>
  </si>
  <si>
    <t>　　車體製造業</t>
  </si>
  <si>
    <t>　　汽車零件製造業</t>
  </si>
  <si>
    <t>　其他運輸工具及其零件製造業</t>
  </si>
  <si>
    <t>　　船舶及浮動設施製造業</t>
  </si>
  <si>
    <t>　　機車及其零件製造業</t>
  </si>
  <si>
    <t>　　自行車及其零件製造業</t>
  </si>
  <si>
    <t>　　未分類其他運輸工具及其零件製造業</t>
  </si>
  <si>
    <t>　家具製造業</t>
  </si>
  <si>
    <t>　　非金屬家具製造業</t>
  </si>
  <si>
    <t>　　金屬家具製造業</t>
  </si>
  <si>
    <t>　其他製造業</t>
  </si>
  <si>
    <t>　　育樂用品製造業</t>
  </si>
  <si>
    <t>　　醫療器材及用品製造業</t>
  </si>
  <si>
    <t>　　未分類其他製造業</t>
  </si>
  <si>
    <t>　產業用機械設備維修及安裝業</t>
  </si>
  <si>
    <t>　　產業用機械設備維修及安裝業</t>
  </si>
  <si>
    <t>電力及燃氣供應業</t>
  </si>
  <si>
    <t>　電力及燃氣供應業</t>
  </si>
  <si>
    <t>　　電力供應業</t>
  </si>
  <si>
    <t>　　氣體燃料供應業</t>
  </si>
  <si>
    <t>　　蒸汽供應業</t>
  </si>
  <si>
    <t>用水供應及污染整治業</t>
  </si>
  <si>
    <t>　用水供應業</t>
  </si>
  <si>
    <t>　　用水供應業</t>
  </si>
  <si>
    <t>　廢水及污水處理業</t>
  </si>
  <si>
    <t>　　廢水及污水處理業</t>
  </si>
  <si>
    <t>　廢棄物清除、處理及資源物回收處理業</t>
  </si>
  <si>
    <t>　　廢棄物清除業</t>
  </si>
  <si>
    <t>　　廢棄物處理業</t>
  </si>
  <si>
    <t>　　資源物回收處理業</t>
  </si>
  <si>
    <t>　污染整治業</t>
  </si>
  <si>
    <t>　　污染整治業</t>
  </si>
  <si>
    <t>營建工程業</t>
  </si>
  <si>
    <t>　建築工程業</t>
  </si>
  <si>
    <t>　　建築工程業</t>
  </si>
  <si>
    <t>　土木工程業</t>
  </si>
  <si>
    <t>　　道路工程業</t>
  </si>
  <si>
    <t>　　公用事業設施工程業</t>
  </si>
  <si>
    <t>　　其他土木工程業</t>
  </si>
  <si>
    <t>　專門營造業</t>
  </si>
  <si>
    <t>　　整地、基礎及結構工程業</t>
  </si>
  <si>
    <t>D</t>
  </si>
  <si>
    <t>E</t>
  </si>
  <si>
    <t>F</t>
  </si>
  <si>
    <t>　　電池製造業</t>
  </si>
  <si>
    <t>表3-9. 營利事業家數及銷售額－按稅務小行業別分(續2)</t>
  </si>
  <si>
    <t xml:space="preserve">    Manufacture of Batteries and Accumulators</t>
  </si>
  <si>
    <t xml:space="preserve">    Manufacture of Wiring and Wiring Devices</t>
  </si>
  <si>
    <t xml:space="preserve">    Manufacture of Lighting Equipment</t>
  </si>
  <si>
    <t xml:space="preserve">    Manufacture of Domestic Appliances</t>
  </si>
  <si>
    <t xml:space="preserve">    Manufacture of Other Electrical Equipment</t>
  </si>
  <si>
    <t xml:space="preserve">  Manufacture of Machinery and Equipment</t>
  </si>
  <si>
    <t xml:space="preserve">    Manufacture of Metalworking Machinery</t>
  </si>
  <si>
    <t xml:space="preserve">    Manufacture of Other Special-purpose Machinery</t>
  </si>
  <si>
    <t xml:space="preserve">    Manufacture of General-purpose Machinery</t>
  </si>
  <si>
    <t xml:space="preserve">  Manufacture of Motor Vehicles and Parts</t>
  </si>
  <si>
    <t xml:space="preserve">    Manufacture of Motor Vehicles</t>
  </si>
  <si>
    <t xml:space="preserve">    Manufacture of Bodies (Coachwork) for Motor Vehicles</t>
  </si>
  <si>
    <t xml:space="preserve">    Manufacture of Parts for Motor Vehicles</t>
  </si>
  <si>
    <t xml:space="preserve">  Manufacture of Other Transport Equipment and Parts</t>
  </si>
  <si>
    <t xml:space="preserve">    Manufacture of Ships, Boats and Floating Structures</t>
  </si>
  <si>
    <t xml:space="preserve">    Manufacture of Motorcycles and Parts</t>
  </si>
  <si>
    <t xml:space="preserve">    Manufacture of Bicycles and Parts</t>
  </si>
  <si>
    <t xml:space="preserve">    Manufacture of Other Transport Equipment and Parts Not 
    Elsewhere Classified</t>
  </si>
  <si>
    <t xml:space="preserve">  Manufacture of Furniture</t>
  </si>
  <si>
    <t xml:space="preserve">    Manufacture of Non-metallic Furniture</t>
  </si>
  <si>
    <t xml:space="preserve">    Manufacture of Metallic Furniture</t>
  </si>
  <si>
    <t xml:space="preserve">  Other Manufacturing</t>
  </si>
  <si>
    <t xml:space="preserve">    Manufacture of Sports and Recreational Goods</t>
  </si>
  <si>
    <t xml:space="preserve">    Manufacture of Medical Instruments and Supplies</t>
  </si>
  <si>
    <t xml:space="preserve">    Manufacturing Not Elsewhere Classified</t>
  </si>
  <si>
    <t xml:space="preserve">  Repair and Installation of Industrial Machinery and Equipment</t>
  </si>
  <si>
    <t xml:space="preserve">    Repair and Installation of Industrial Machinery and 
    Equipment</t>
  </si>
  <si>
    <t>Electricity and Gas Supply</t>
  </si>
  <si>
    <t xml:space="preserve">  Electricity and Gas Supply</t>
  </si>
  <si>
    <t xml:space="preserve">    Electricity Supply</t>
  </si>
  <si>
    <t xml:space="preserve">    Gas Supply</t>
  </si>
  <si>
    <t xml:space="preserve">    Steam Supply</t>
  </si>
  <si>
    <t>Water Supply and Remediation Activities</t>
  </si>
  <si>
    <t xml:space="preserve">  Water Supply</t>
  </si>
  <si>
    <t xml:space="preserve">    Water Supply</t>
  </si>
  <si>
    <t xml:space="preserve">  Wastewater and Sewage Treatment</t>
  </si>
  <si>
    <t xml:space="preserve">    Wastewater and Sewage Treatment</t>
  </si>
  <si>
    <t xml:space="preserve">  Waste Collection, Treatment and Disposal Activities; 
  Materials Recovery</t>
  </si>
  <si>
    <t xml:space="preserve">    Waste Collection</t>
  </si>
  <si>
    <t xml:space="preserve">    Waste Treatment and Disposal</t>
  </si>
  <si>
    <t xml:space="preserve">    Materials Recovery</t>
  </si>
  <si>
    <t xml:space="preserve">  Remediation Activities and Other Waste Management Services</t>
  </si>
  <si>
    <t xml:space="preserve">    Remediation Activities and Other Waste Management 
    Services</t>
  </si>
  <si>
    <t>Construction</t>
  </si>
  <si>
    <t xml:space="preserve">  Construction of Buildings</t>
  </si>
  <si>
    <t xml:space="preserve">    Construction of Buildings</t>
  </si>
  <si>
    <t xml:space="preserve">  Civil Engineering</t>
  </si>
  <si>
    <t xml:space="preserve">    Construction of Roads and Railways</t>
  </si>
  <si>
    <t xml:space="preserve">    Construction of Utility Projects</t>
  </si>
  <si>
    <t xml:space="preserve">    Construction of Other Civil Engineering Projects</t>
  </si>
  <si>
    <t xml:space="preserve">  Specialized Construction Activities</t>
  </si>
  <si>
    <t xml:space="preserve">    Site Preparation, Foundation and Structure Construction</t>
  </si>
  <si>
    <t>Table 3-9.  Business Units and Sales－by Industrial Classification on Taxation(Cont.2)</t>
  </si>
  <si>
    <t>　　機電、管道及其他建築設備安裝業</t>
  </si>
  <si>
    <t>　　建物完工裝修工程業</t>
  </si>
  <si>
    <t>　　其他專門營造業</t>
  </si>
  <si>
    <t>批發及零售業</t>
  </si>
  <si>
    <t>　批發業</t>
  </si>
  <si>
    <t>　　商品批發經紀業</t>
  </si>
  <si>
    <t>　　綜合商品批發業</t>
  </si>
  <si>
    <t>　　農產原料及活動物批發業</t>
  </si>
  <si>
    <t>　　食品、飲料及菸草製品批發業</t>
  </si>
  <si>
    <t>　　布疋及服飾品批發業</t>
  </si>
  <si>
    <t>　　家用器具及用品批發業</t>
  </si>
  <si>
    <t>　　藥品、醫療用品及化粧品批發業</t>
  </si>
  <si>
    <t>　　文教育樂用品批發業</t>
  </si>
  <si>
    <t>　　建材批發業</t>
  </si>
  <si>
    <t>　　化學原材料及其製品批發業</t>
  </si>
  <si>
    <t>　　燃料及相關產品批發業</t>
  </si>
  <si>
    <t>　　機械器具批發業</t>
  </si>
  <si>
    <t>　　汽機車及其零配件、用品批發業</t>
  </si>
  <si>
    <t>　　其他專賣批發業</t>
  </si>
  <si>
    <t>　零售業</t>
  </si>
  <si>
    <t>　　綜合商品零售業</t>
  </si>
  <si>
    <t>　　食品、飲料及菸草製品零售業</t>
  </si>
  <si>
    <t>　　布疋及服飾品零售業</t>
  </si>
  <si>
    <t>　　家用器具及用品零售業</t>
  </si>
  <si>
    <t>　　藥品、醫療用品及化粧品零售業</t>
  </si>
  <si>
    <t>　　文教育樂用品零售業</t>
  </si>
  <si>
    <t>　　建材零售業</t>
  </si>
  <si>
    <t>　　燃料及相關產品零售業</t>
  </si>
  <si>
    <t>　　資訊及通訊設備零售業</t>
  </si>
  <si>
    <t>　　汽機車及其零配件、用品零售業</t>
  </si>
  <si>
    <t>　　其他專賣零售業</t>
  </si>
  <si>
    <t>　　零售攤販</t>
  </si>
  <si>
    <t>　　其他非店面零售業</t>
  </si>
  <si>
    <t>運輸及倉儲業</t>
  </si>
  <si>
    <t>　陸上運輸業</t>
  </si>
  <si>
    <t>　　鐵路運輸業</t>
  </si>
  <si>
    <t>　　捷運運輸業</t>
  </si>
  <si>
    <t>　　汽車客運業</t>
  </si>
  <si>
    <t>　　汽車貨運業</t>
  </si>
  <si>
    <t>　　其他陸上運輸業</t>
  </si>
  <si>
    <t>　水上運輸業</t>
  </si>
  <si>
    <t>　　海洋水運業</t>
  </si>
  <si>
    <t>　　內河及湖泊水運業</t>
  </si>
  <si>
    <t>　航空運輸業</t>
  </si>
  <si>
    <t>　　航空運輸業</t>
  </si>
  <si>
    <t>　運輸輔助業</t>
  </si>
  <si>
    <t>　　報關業</t>
  </si>
  <si>
    <t>G</t>
  </si>
  <si>
    <t>45-46</t>
  </si>
  <si>
    <t>47-48</t>
  </si>
  <si>
    <t>H</t>
  </si>
  <si>
    <t>　　庭園景觀工程業</t>
  </si>
  <si>
    <t>表3-9. 營利事業家數及銷售額－按稅務小行業別分(續3)</t>
  </si>
  <si>
    <t xml:space="preserve">    Landscape Construction</t>
  </si>
  <si>
    <t xml:space="preserve">    Electrical, Plumbing and Other Construction Installation 
    Activities</t>
  </si>
  <si>
    <t xml:space="preserve">    Building Completion and Finishing</t>
  </si>
  <si>
    <t xml:space="preserve">    Other Specialized Construction Activities</t>
  </si>
  <si>
    <t>Wholesale and Retail Trade</t>
  </si>
  <si>
    <t xml:space="preserve">  Wholesale Trade</t>
  </si>
  <si>
    <t xml:space="preserve">    Wholesale on a Fee or Contract Basis</t>
  </si>
  <si>
    <t xml:space="preserve">    Wholesale of General Merchandise</t>
  </si>
  <si>
    <t xml:space="preserve">    Wholesale of Agricultural Raw Materials and Live Animals</t>
  </si>
  <si>
    <t xml:space="preserve">    Wholesale of Food, Beverages and Tobacco</t>
  </si>
  <si>
    <t xml:space="preserve">    Wholesale of Textiles and Clothing</t>
  </si>
  <si>
    <t xml:space="preserve">    Wholesale of Household Appliances and Goods</t>
  </si>
  <si>
    <t xml:space="preserve">    Wholesale of Pharmaceutical and Medical Goods and 
    Cosmetics</t>
  </si>
  <si>
    <t xml:space="preserve">    Wholesale of Cultural and Recreation Goods</t>
  </si>
  <si>
    <t xml:space="preserve">    Wholesale of Construction Materials</t>
  </si>
  <si>
    <t xml:space="preserve">    Wholesale of Chemical Materials and Chemical Products</t>
  </si>
  <si>
    <t xml:space="preserve">    Wholesale of Fuel and Related Products</t>
  </si>
  <si>
    <t xml:space="preserve">    Wholesale of Machinery and Equipment</t>
  </si>
  <si>
    <t xml:space="preserve">    Wholesale of Motor Vehicles and Motorcycles and Related 
    Parts and Accessories</t>
  </si>
  <si>
    <t xml:space="preserve">    Other Specialized Wholesale</t>
  </si>
  <si>
    <t xml:space="preserve">  Retail Trade</t>
  </si>
  <si>
    <t xml:space="preserve">    Retail Sale in Non-specialized Stores</t>
  </si>
  <si>
    <t xml:space="preserve">    Retail Sale of Food, Beverages and Tobacco in Specialized 
    Stores</t>
  </si>
  <si>
    <t xml:space="preserve">    Retail Sale of Textiles and Clothing in Specialized Stores</t>
  </si>
  <si>
    <t xml:space="preserve">    Retail Sale of Household Appliances and Goods in Specialized
    Stores</t>
  </si>
  <si>
    <t xml:space="preserve">    Retail Sale of Pharmaceutical and Medical Goods and 
    Cosmetics in Specialized Stores</t>
  </si>
  <si>
    <t xml:space="preserve">    Retail Sale of Cultural and Recreation Goods in 
    Specialized Stores</t>
  </si>
  <si>
    <t xml:space="preserve">    Retail Sale of Construction Materials in Specialized Stores</t>
  </si>
  <si>
    <t xml:space="preserve">    Retail Sale of Fuel and Related Products in Specialized Stores</t>
  </si>
  <si>
    <t xml:space="preserve">    Retail Sale of Information and Communications Equipment 
    in Specialized Stores</t>
  </si>
  <si>
    <t xml:space="preserve">    Retail Sale of Motor Vehicles, Motorcycles and Related 
    Parts and Accessories in Specialized Stores</t>
  </si>
  <si>
    <t xml:space="preserve">    Other Retail Sale in Specialized Stores</t>
  </si>
  <si>
    <t xml:space="preserve">    Retail Sale via Stalls</t>
  </si>
  <si>
    <t xml:space="preserve">    Retail Trade Not in Stores or Stalls</t>
  </si>
  <si>
    <t>Transportation and Storage</t>
  </si>
  <si>
    <t xml:space="preserve">  Land Transportation</t>
  </si>
  <si>
    <t xml:space="preserve">    Transport via Railways</t>
  </si>
  <si>
    <t xml:space="preserve">    Mass Rapid Transit Transportion</t>
  </si>
  <si>
    <t xml:space="preserve">    Bus Transportation</t>
  </si>
  <si>
    <t xml:space="preserve">    Freight Truck Transport</t>
  </si>
  <si>
    <t xml:space="preserve">    Other Land Transportation</t>
  </si>
  <si>
    <t xml:space="preserve">  Water Transportation</t>
  </si>
  <si>
    <t xml:space="preserve">    Ocean Transportation</t>
  </si>
  <si>
    <t xml:space="preserve">    Inland and Lake Transportation</t>
  </si>
  <si>
    <t xml:space="preserve">  Air Transport</t>
  </si>
  <si>
    <t xml:space="preserve">    Air Transport</t>
  </si>
  <si>
    <t xml:space="preserve">  Support Activities for Transportation</t>
  </si>
  <si>
    <t xml:space="preserve">    Customs Clearance Services</t>
  </si>
  <si>
    <t>Table 3-9.  Business Units and Sales－by Industrial Classification on Taxation(Cont.3)</t>
  </si>
  <si>
    <t>　　貨運承攬業</t>
  </si>
  <si>
    <t>　　陸上運輸輔助業</t>
  </si>
  <si>
    <t>　　水上運輸輔助業</t>
  </si>
  <si>
    <t>　　航空運輸輔助業</t>
  </si>
  <si>
    <t>　　其他運輸輔助業</t>
  </si>
  <si>
    <t>　倉儲業</t>
  </si>
  <si>
    <t>　　倉儲業</t>
  </si>
  <si>
    <t>　郵政及遞送服務業</t>
  </si>
  <si>
    <t>　　郵政業</t>
  </si>
  <si>
    <t>　　遞送服務業</t>
  </si>
  <si>
    <t>住宿及餐飲業</t>
  </si>
  <si>
    <t>　住宿業</t>
  </si>
  <si>
    <t>　　短期住宿業</t>
  </si>
  <si>
    <t>　　其他住宿業</t>
  </si>
  <si>
    <t>　餐飲業</t>
  </si>
  <si>
    <t>　　餐食業</t>
  </si>
  <si>
    <t>　　外燴及團膳承包業</t>
  </si>
  <si>
    <t>　　飲料業</t>
  </si>
  <si>
    <t>出版影音及資通訊業</t>
  </si>
  <si>
    <t>　出版業</t>
  </si>
  <si>
    <t>　　新聞、雜誌、期刊、書籍及其他出版業</t>
  </si>
  <si>
    <t>　　軟體出版業</t>
  </si>
  <si>
    <t>　影片及電視節目業；聲音錄製及音樂發行
　業</t>
  </si>
  <si>
    <t>　　影片及電視節目業</t>
  </si>
  <si>
    <t>　　聲音錄製及音樂發行業</t>
  </si>
  <si>
    <t>　廣播、電視節目編排及傳播業</t>
  </si>
  <si>
    <t>　　廣播業</t>
  </si>
  <si>
    <t>　　電視節目編排及傳播業</t>
  </si>
  <si>
    <t>　電信業</t>
  </si>
  <si>
    <t>　　電信業</t>
  </si>
  <si>
    <t>　電腦程式設計、諮詢及相關服務業</t>
  </si>
  <si>
    <t>　　電腦程式設計、諮詢及相關服務業</t>
  </si>
  <si>
    <t>　資訊服務業</t>
  </si>
  <si>
    <t>　　入口網站經營、資料處理、主機及網站
　　代管服務業</t>
  </si>
  <si>
    <t>　　其他資訊服務業</t>
  </si>
  <si>
    <t>金融及保險業</t>
  </si>
  <si>
    <t>　金融服務業</t>
  </si>
  <si>
    <t>　　貨幣中介業</t>
  </si>
  <si>
    <t>　　控股業</t>
  </si>
  <si>
    <t>　　信託、基金及類似金融實體</t>
  </si>
  <si>
    <t>　　其他金融服務業</t>
  </si>
  <si>
    <t>　保險業</t>
  </si>
  <si>
    <t>　　人身保險業</t>
  </si>
  <si>
    <t>　　財產保險業</t>
  </si>
  <si>
    <t>　　再保險業</t>
  </si>
  <si>
    <t>　　退休基金</t>
  </si>
  <si>
    <t>　　保險輔助業</t>
  </si>
  <si>
    <t>　證券期貨及金融輔助業</t>
  </si>
  <si>
    <t>　　證券業</t>
  </si>
  <si>
    <t>　　期貨業</t>
  </si>
  <si>
    <t>　　基金管理業</t>
  </si>
  <si>
    <t>　　其他金融輔助業</t>
  </si>
  <si>
    <t>I</t>
  </si>
  <si>
    <t>J</t>
  </si>
  <si>
    <t>K</t>
  </si>
  <si>
    <t>　　船務代理業</t>
  </si>
  <si>
    <t>表3-9. 營利事業家數及銷售額－按稅務小行業別分(續4)</t>
  </si>
  <si>
    <t xml:space="preserve">    Shipping Agency Services</t>
  </si>
  <si>
    <t xml:space="preserve">    Freight Transportation Forwarding Services</t>
  </si>
  <si>
    <t xml:space="preserve">    Service Activities Incidental to Land Transportation</t>
  </si>
  <si>
    <t xml:space="preserve">    Service Activities Incidental to Water Transportation</t>
  </si>
  <si>
    <t xml:space="preserve">    Service Activities Incidental to Air Transportation</t>
  </si>
  <si>
    <t xml:space="preserve">    Other Transportation Support Activities</t>
  </si>
  <si>
    <t xml:space="preserve">  Warehousing and Storage</t>
  </si>
  <si>
    <t xml:space="preserve">    Warehousing and Storage</t>
  </si>
  <si>
    <t xml:space="preserve">  Postal and Courier Activities</t>
  </si>
  <si>
    <t xml:space="preserve">    Postal Activities</t>
  </si>
  <si>
    <t xml:space="preserve">    Courier Activities</t>
  </si>
  <si>
    <t>Accommodation and Food Service Activities</t>
  </si>
  <si>
    <t xml:space="preserve">  Accommodation</t>
  </si>
  <si>
    <t xml:space="preserve">    Short Term Accommodation Activities</t>
  </si>
  <si>
    <t xml:space="preserve">    Other Accommodation</t>
  </si>
  <si>
    <t xml:space="preserve">  Food and Beverage Service Activities</t>
  </si>
  <si>
    <t xml:space="preserve">    Food Service Activities</t>
  </si>
  <si>
    <t xml:space="preserve">    Event Catering and Other Food Service Activities</t>
  </si>
  <si>
    <t xml:space="preserve">    Beverage Serving Activities</t>
  </si>
  <si>
    <t>Information and Communication</t>
  </si>
  <si>
    <t xml:space="preserve">  Publishing Activities</t>
  </si>
  <si>
    <t xml:space="preserve">    Publishing of Books, Periodicals and Other Publishing 
    Activities</t>
  </si>
  <si>
    <t xml:space="preserve">    Software Publishing</t>
  </si>
  <si>
    <t xml:space="preserve">  Motion Picture, Video and Television Programme Production, 
  Sound Recording and Music Publishing Activities</t>
  </si>
  <si>
    <t xml:space="preserve">    Motion Picture, Video and Television Programme Activities</t>
  </si>
  <si>
    <t xml:space="preserve">    Sound Recording and Music Publishing Activities</t>
  </si>
  <si>
    <t xml:space="preserve">  Programming and Broadcasting Activities</t>
  </si>
  <si>
    <t xml:space="preserve">    Radio Broadcasting</t>
  </si>
  <si>
    <t xml:space="preserve">    Television Broadcasting and Subscription Programming</t>
  </si>
  <si>
    <t xml:space="preserve">  Telecommunications</t>
  </si>
  <si>
    <t xml:space="preserve">    Telecommunications</t>
  </si>
  <si>
    <t xml:space="preserve">  Computer Programming, Consultancy and Related Activities</t>
  </si>
  <si>
    <t xml:space="preserve">    Computer Programming, Consultancy and Related Activities</t>
  </si>
  <si>
    <t xml:space="preserve">  Information Service Activities</t>
  </si>
  <si>
    <t xml:space="preserve">    Data Processing, Hosting and Related Activities, Web 
    Portals</t>
  </si>
  <si>
    <t xml:space="preserve">    Other Information Service Activities</t>
  </si>
  <si>
    <t>Financial and Insurance Activities</t>
  </si>
  <si>
    <t xml:space="preserve">  Financial Service Activities</t>
  </si>
  <si>
    <t xml:space="preserve">    Monetary Intermediation</t>
  </si>
  <si>
    <t xml:space="preserve">    Activities of Holding Companies</t>
  </si>
  <si>
    <t xml:space="preserve">    Trusts, Funds and Similar Financial Entities</t>
  </si>
  <si>
    <t xml:space="preserve">    Other Financial Service Activities</t>
  </si>
  <si>
    <t xml:space="preserve">  Insurance</t>
  </si>
  <si>
    <t xml:space="preserve">    Insurance of the Person</t>
  </si>
  <si>
    <t xml:space="preserve">    Non-life Insurance</t>
  </si>
  <si>
    <t xml:space="preserve">    Reinsurance</t>
  </si>
  <si>
    <t xml:space="preserve">    Pension Funding</t>
  </si>
  <si>
    <t xml:space="preserve">    Activities Auxiliary to Insurance</t>
  </si>
  <si>
    <t xml:space="preserve">  Security, Commodity Contracts, and Activities Auxiliary to 
  Financial Service Activities</t>
  </si>
  <si>
    <t xml:space="preserve">    Securities</t>
  </si>
  <si>
    <t xml:space="preserve">    Commodity Contracts</t>
  </si>
  <si>
    <t xml:space="preserve">    Fund Management Activities</t>
  </si>
  <si>
    <t xml:space="preserve">    Other Activities Auxiliary to Financial Service Activities</t>
  </si>
  <si>
    <t>Table 3-9.  Business Units and Sales－by Industrial Classification on Taxation(Cont.4)</t>
  </si>
  <si>
    <t>　不動產開發業</t>
  </si>
  <si>
    <t>　　不動產開發業</t>
  </si>
  <si>
    <t>　不動產經營及相關服務業</t>
  </si>
  <si>
    <t>　　不動產經營業</t>
  </si>
  <si>
    <t>　　其他不動產業</t>
  </si>
  <si>
    <t>專業、科學及技術服務業</t>
  </si>
  <si>
    <t>　法律及會計服務業</t>
  </si>
  <si>
    <t>　　法律服務業</t>
  </si>
  <si>
    <t>　　會計服務業</t>
  </si>
  <si>
    <t>　企業總管理機構及管理顧問業</t>
  </si>
  <si>
    <t>　　企業總管理機構</t>
  </si>
  <si>
    <t>　　管理顧問業</t>
  </si>
  <si>
    <t>　建築、工程服務及技術檢測、分析服務業</t>
  </si>
  <si>
    <t>　　建築、工程服務及相關技術顧問業</t>
  </si>
  <si>
    <t>　　技術檢測及分析服務業</t>
  </si>
  <si>
    <t>　研究發展服務業</t>
  </si>
  <si>
    <t>　　自然及工程科學研究發展服務業</t>
  </si>
  <si>
    <t>　　社會及人文科學研究發展服務業</t>
  </si>
  <si>
    <t>　　綜合研究發展服務業</t>
  </si>
  <si>
    <t>　廣告業及市場研究業</t>
  </si>
  <si>
    <t>　　廣告業</t>
  </si>
  <si>
    <t>　　市場研究及民意調查業</t>
  </si>
  <si>
    <t>　專門設計業</t>
  </si>
  <si>
    <t>　　專門設計業</t>
  </si>
  <si>
    <t>　獸醫業</t>
  </si>
  <si>
    <t>　　獸醫業</t>
  </si>
  <si>
    <t>　其他專業、科學及技術服務業</t>
  </si>
  <si>
    <t>　　其他專業、科學及技術服務業</t>
  </si>
  <si>
    <t>支援服務業</t>
  </si>
  <si>
    <t>　租賃業</t>
  </si>
  <si>
    <t>　　機械設備租賃業</t>
  </si>
  <si>
    <t>　　運輸工具租賃業</t>
  </si>
  <si>
    <t>　　個人及家庭用品租賃業</t>
  </si>
  <si>
    <t>　　智慧財產租賃業</t>
  </si>
  <si>
    <t>　人力仲介及供應業</t>
  </si>
  <si>
    <t>　　人力仲介業</t>
  </si>
  <si>
    <t>　　人力供應業</t>
  </si>
  <si>
    <t>　旅行及其他相關服務業</t>
  </si>
  <si>
    <t>　　旅行及其他相關服務業</t>
  </si>
  <si>
    <t>　保全及偵探業</t>
  </si>
  <si>
    <t>　　保全及偵探業</t>
  </si>
  <si>
    <t>　建築物及綠化服務業</t>
  </si>
  <si>
    <t>　　複合支援服務業</t>
  </si>
  <si>
    <t>　　清潔服務業</t>
  </si>
  <si>
    <t>　　綠化服務業</t>
  </si>
  <si>
    <t>　行政支援服務業</t>
  </si>
  <si>
    <t>　　行政支援服務業</t>
  </si>
  <si>
    <t>公共行政及國防；強制性社會安全</t>
  </si>
  <si>
    <t>　公共行政及國防；強制性社會安全</t>
  </si>
  <si>
    <t>M</t>
  </si>
  <si>
    <t>N</t>
  </si>
  <si>
    <t>O</t>
  </si>
  <si>
    <t>不動產業</t>
  </si>
  <si>
    <t>L</t>
  </si>
  <si>
    <t>表3-9. 營利事業家數及銷售額－按稅務小行業別分(續5)</t>
  </si>
  <si>
    <t>Real Estate Activities</t>
  </si>
  <si>
    <t xml:space="preserve">  Real Estate Development Activities</t>
  </si>
  <si>
    <t xml:space="preserve">    Real Estate Development Activities</t>
  </si>
  <si>
    <t xml:space="preserve">  Real Estate Operation and Related Activities</t>
  </si>
  <si>
    <t xml:space="preserve">    Real Estate Operation Activities</t>
  </si>
  <si>
    <t xml:space="preserve">    Other Real Estate Activities</t>
  </si>
  <si>
    <t>Professional, Scientific and Technical Activities</t>
  </si>
  <si>
    <t xml:space="preserve">  Legal and Accounting Activities</t>
  </si>
  <si>
    <t xml:space="preserve">    Legal Activities</t>
  </si>
  <si>
    <t xml:space="preserve">    Accounting, Bookkeeping and Auditing Activities; Tax 
    Consultancy</t>
  </si>
  <si>
    <t xml:space="preserve">  Activities of Head Offices; Management Consultancy Activities</t>
  </si>
  <si>
    <t xml:space="preserve">    Activities of Head Offices</t>
  </si>
  <si>
    <t xml:space="preserve">    Management Consultancy Activities</t>
  </si>
  <si>
    <t xml:space="preserve">  Architecture and Engineering Activities; Technical Testing 
  and Analysis</t>
  </si>
  <si>
    <t xml:space="preserve">    Architecture and Engineering Activities and Related 
    Technical Consultancy</t>
  </si>
  <si>
    <t xml:space="preserve">    Technical Testing and Analysis</t>
  </si>
  <si>
    <t xml:space="preserve">  Scientific Research and Development</t>
  </si>
  <si>
    <t xml:space="preserve">    Research and Experimental Development on Natural Sciences 
    and Engineering</t>
  </si>
  <si>
    <t xml:space="preserve">    Research and Experimental Development on Social Sciences 
    and Humanities</t>
  </si>
  <si>
    <t xml:space="preserve">    Miscellaneous Scientific Research and Development</t>
  </si>
  <si>
    <t xml:space="preserve">  Advertising and Market Research</t>
  </si>
  <si>
    <t xml:space="preserve">    Advertising</t>
  </si>
  <si>
    <t xml:space="preserve">    Market Research and Public Opinion Polling</t>
  </si>
  <si>
    <t xml:space="preserve">  Specialized Design Activities</t>
  </si>
  <si>
    <t xml:space="preserve">    Specialized Design Activities</t>
  </si>
  <si>
    <t xml:space="preserve">  Veterinary Activities</t>
  </si>
  <si>
    <t xml:space="preserve">    Veterinary Activities</t>
  </si>
  <si>
    <t xml:space="preserve">  Other Professional, Scientific and Technical Activities</t>
  </si>
  <si>
    <t xml:space="preserve">    Other Professional, Scientific and Technical Activities</t>
  </si>
  <si>
    <t>Support Service Activities</t>
  </si>
  <si>
    <t xml:space="preserve">  Rental and Leasing Activities</t>
  </si>
  <si>
    <t xml:space="preserve">    Renting and Leasing of Machinery and Equipment</t>
  </si>
  <si>
    <t xml:space="preserve">    Renting and Leasing of Transport Equipment</t>
  </si>
  <si>
    <t xml:space="preserve">    Renting and Leasing of Personal and Household Goods</t>
  </si>
  <si>
    <t xml:space="preserve">    Leasing of Intellectual Property and Similar Products, 
    Except Copyrighted Works</t>
  </si>
  <si>
    <t xml:space="preserve">  Employment Activities</t>
  </si>
  <si>
    <t xml:space="preserve">    Activities of Employment Placement Agencies</t>
  </si>
  <si>
    <t xml:space="preserve">    Human Resources Provision Activities</t>
  </si>
  <si>
    <t xml:space="preserve">  Travel agency, Tour Operator, Other Reservation Service and 
  Related Activities</t>
  </si>
  <si>
    <t xml:space="preserve">    Travel agency, Tour Operator, Other Reservation Service 
    and Related Activities</t>
  </si>
  <si>
    <t xml:space="preserve">  Security and Investigation Activities</t>
  </si>
  <si>
    <t xml:space="preserve">    Security and Investigation Activities</t>
  </si>
  <si>
    <t xml:space="preserve">  Services to Buildings and Landscape Activities</t>
  </si>
  <si>
    <t xml:space="preserve">    Combined Facilities Support Activities</t>
  </si>
  <si>
    <t xml:space="preserve">    Cleaning Activities</t>
  </si>
  <si>
    <t xml:space="preserve">    Landscape Care and Maintenance Service Activities</t>
  </si>
  <si>
    <t xml:space="preserve">  Office Administrative and Support Activities</t>
  </si>
  <si>
    <t xml:space="preserve">    Office Administrative and Support Activities</t>
  </si>
  <si>
    <t>Public Administration and Defence; Compulsory Social Security</t>
  </si>
  <si>
    <t xml:space="preserve">  Public Administration and Defence; Compulsory Social Security</t>
  </si>
  <si>
    <t>Table 3-9.  Business Units and Sales－by Industrial Classification on Taxation(Cont.5)</t>
  </si>
  <si>
    <t>　　國防事務</t>
  </si>
  <si>
    <t>　　強制性社會安全事務</t>
  </si>
  <si>
    <t>　國際組織及外國機構</t>
  </si>
  <si>
    <t>　　國際組織及外國機構</t>
  </si>
  <si>
    <t>教育業</t>
  </si>
  <si>
    <t>　教育業</t>
  </si>
  <si>
    <t>　　學前教育</t>
  </si>
  <si>
    <t>　　小學教育</t>
  </si>
  <si>
    <t>(D)</t>
  </si>
  <si>
    <t>　　國民中學教育</t>
  </si>
  <si>
    <t>　　高級中等教育</t>
  </si>
  <si>
    <t>　　大專校院</t>
  </si>
  <si>
    <t>　　特殊教育學校</t>
  </si>
  <si>
    <t>　　教育輔助業</t>
  </si>
  <si>
    <t>　　其他教育業</t>
  </si>
  <si>
    <t>醫療保健及社會工作服務業</t>
  </si>
  <si>
    <t>　醫療保健業</t>
  </si>
  <si>
    <t>　　醫院</t>
  </si>
  <si>
    <t>　　診所</t>
  </si>
  <si>
    <t>　　其他醫療保健業</t>
  </si>
  <si>
    <t>　居住型照顧服務業</t>
  </si>
  <si>
    <t>　　居住型護理照顧服務業</t>
  </si>
  <si>
    <t>　　其他居住型照顧服務業</t>
  </si>
  <si>
    <t>　其他社會工作服務業</t>
  </si>
  <si>
    <t>　　居家式及社區式長期照顧服務業</t>
  </si>
  <si>
    <t>　　未分類其他社會工作服務業</t>
  </si>
  <si>
    <t>藝術、娛樂及休閒服務業</t>
  </si>
  <si>
    <t>　創作及藝術表演業</t>
  </si>
  <si>
    <t>　　創作業</t>
  </si>
  <si>
    <t>　　藝術表演業</t>
  </si>
  <si>
    <t>　　創作及藝術表演輔助業</t>
  </si>
  <si>
    <t>　圖書館、檔案保存、博物館及類似機構</t>
  </si>
  <si>
    <t>　　圖書館、檔案保存、博物館及類似機構</t>
  </si>
  <si>
    <t>　博弈業</t>
  </si>
  <si>
    <t>　　博弈業</t>
  </si>
  <si>
    <t>　運動、娛樂及休閒服務業</t>
  </si>
  <si>
    <t>　　運動服務業</t>
  </si>
  <si>
    <t>　　娛樂及休閒服務業</t>
  </si>
  <si>
    <t>其他服務業</t>
  </si>
  <si>
    <t>　宗教、職業及類似組織</t>
  </si>
  <si>
    <t>　　宗教組織</t>
  </si>
  <si>
    <t>　　職業團體</t>
  </si>
  <si>
    <t>　　其他組織</t>
  </si>
  <si>
    <t>　個人及家庭用品維修業</t>
  </si>
  <si>
    <t>　　汽車維修及美容業</t>
  </si>
  <si>
    <t>　　電腦、通訊傳播設備及電子產品維修業</t>
  </si>
  <si>
    <t>　　其他個人及家庭用品維修業</t>
  </si>
  <si>
    <t>　未分類其他服務業</t>
  </si>
  <si>
    <t>　　洗衣業</t>
  </si>
  <si>
    <t>　　美髮及美容美體業</t>
  </si>
  <si>
    <t>　　殯葬及寵物生命紀念相關服務業</t>
  </si>
  <si>
    <t>　　家事服務業</t>
  </si>
  <si>
    <t>　　其他個人服務業</t>
  </si>
  <si>
    <t>其他不能歸類之行業</t>
  </si>
  <si>
    <t>P</t>
  </si>
  <si>
    <t>Q</t>
  </si>
  <si>
    <t>R</t>
  </si>
  <si>
    <t>S</t>
  </si>
  <si>
    <t>X</t>
  </si>
  <si>
    <t>　　公共行政</t>
  </si>
  <si>
    <t>表3-9. 營利事業家數及銷售額－按稅務小行業別分(續6完)</t>
  </si>
  <si>
    <t xml:space="preserve">    Public Administration</t>
  </si>
  <si>
    <t xml:space="preserve">    Defence Activities</t>
  </si>
  <si>
    <t xml:space="preserve">    Compulsory Social Security Activities</t>
  </si>
  <si>
    <t xml:space="preserve">  Activities of Extraterritorial Organizations and Bodies</t>
  </si>
  <si>
    <t xml:space="preserve">    Activities of Extraterritorial Organizations and Bodies</t>
  </si>
  <si>
    <t>Education</t>
  </si>
  <si>
    <t xml:space="preserve">  Education</t>
  </si>
  <si>
    <t xml:space="preserve">    Pre-primary Education</t>
  </si>
  <si>
    <t xml:space="preserve">    Primary Education</t>
  </si>
  <si>
    <t xml:space="preserve">    Junior High Education</t>
  </si>
  <si>
    <t xml:space="preserve">    Senior Secondary Education</t>
  </si>
  <si>
    <t xml:space="preserve">    Higher Education</t>
  </si>
  <si>
    <t xml:space="preserve">    Special Education</t>
  </si>
  <si>
    <t xml:space="preserve">    Educational Support Activities</t>
  </si>
  <si>
    <t xml:space="preserve">    Other Education</t>
  </si>
  <si>
    <t>Human Health and Social Work Activities</t>
  </si>
  <si>
    <t xml:space="preserve">  Human Health Activities</t>
  </si>
  <si>
    <t xml:space="preserve">    Hospital Activities</t>
  </si>
  <si>
    <t xml:space="preserve">    Clinic Activities</t>
  </si>
  <si>
    <t xml:space="preserve">    Other Human Health Activities</t>
  </si>
  <si>
    <t xml:space="preserve">  Residential Care Activities</t>
  </si>
  <si>
    <t xml:space="preserve">    Residential Nursing Care Activities</t>
  </si>
  <si>
    <t xml:space="preserve">    Other Residential Care Activities</t>
  </si>
  <si>
    <t xml:space="preserve">  Social Work Activities without Accommodation</t>
  </si>
  <si>
    <t xml:space="preserve">    Home-based and Community-based Long-term Care Activities</t>
  </si>
  <si>
    <t xml:space="preserve">    Other Social Work Activities without Accommodation</t>
  </si>
  <si>
    <t>Arts, Entertainment and Recreation</t>
  </si>
  <si>
    <t xml:space="preserve">  Creative, Arts and Entertainment Activities</t>
  </si>
  <si>
    <t xml:space="preserve">    Artistic Creation</t>
  </si>
  <si>
    <t xml:space="preserve">    Performing Arts</t>
  </si>
  <si>
    <t xml:space="preserve">    Support Activities to Creative and Performing Arts</t>
  </si>
  <si>
    <t xml:space="preserve">  Libraries, Archives, Museums and Other Cultural Activities</t>
  </si>
  <si>
    <t xml:space="preserve">    Libraries, Archives, Museums and Other Cultural Activities</t>
  </si>
  <si>
    <t xml:space="preserve">  Gambling and Betting Activities</t>
  </si>
  <si>
    <t xml:space="preserve">    Gambling and Betting Activities</t>
  </si>
  <si>
    <t xml:space="preserve">  Sports Activities and Amusement and Recreation Activities</t>
  </si>
  <si>
    <t xml:space="preserve">    Sports Activities</t>
  </si>
  <si>
    <t xml:space="preserve">    Amusement and Recreation Activities</t>
  </si>
  <si>
    <t>Other Service Activities</t>
  </si>
  <si>
    <t xml:space="preserve">  Activities of Membership Organizations</t>
  </si>
  <si>
    <t xml:space="preserve">    Activities of Religious Organizations</t>
  </si>
  <si>
    <t xml:space="preserve">    Activities of Business, Employers, Professional Membership 
    Organizations and Trade Unions</t>
  </si>
  <si>
    <t xml:space="preserve">    Activities of Other Membership Organizations</t>
  </si>
  <si>
    <t xml:space="preserve">  Maintenance and Repair of Personal and Household Goods</t>
  </si>
  <si>
    <t xml:space="preserve">    Maintenance and Repair of Motor Vehicles and Motor 
    Vehicle Beauty Shops</t>
  </si>
  <si>
    <t xml:space="preserve">    Repair of Computers, Communication Equipment and 
    Electronic Products</t>
  </si>
  <si>
    <t xml:space="preserve">    Maintenance and Repair of Other Personal and Household 
    Goods</t>
  </si>
  <si>
    <t xml:space="preserve">  Other Personal Service Activities</t>
  </si>
  <si>
    <t xml:space="preserve">    Washing and (Dry-) Cleaning of Textile and Fur Products</t>
  </si>
  <si>
    <t xml:space="preserve">    Beauty Treatment</t>
  </si>
  <si>
    <t xml:space="preserve">    Funeral and Related Activities</t>
  </si>
  <si>
    <t xml:space="preserve">    Activities of Households as Employers of Domestic Personnel</t>
  </si>
  <si>
    <t xml:space="preserve">    Other Personal Service Activities Not Elsewhere Classified</t>
  </si>
  <si>
    <t>Activities Not Adequately Defined</t>
  </si>
  <si>
    <t>Table 3-9.  Business Units and Sales－by Industrial Classification on Taxation(Cont.6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</si>
</sst>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7" formatCode="00"/>
    <numFmt numFmtId="178" formatCode="000"/>
    <numFmt numFmtId="179" formatCode="###,###,##0"/>
    <numFmt numFmtId="180" formatCode="###,###,##0\ "/>
    <numFmt numFmtId="181" formatCode="###,###,##0;\ \-###,###,##0;\ &quot;         －&quot;\ "/>
    <numFmt numFmtId="182" formatCode="\-##,###,##0\ "/>
    <numFmt numFmtId="183" formatCode="###,###,##0;\-###,###,##0;&quot;         －&quot;"/>
  </numFmts>
  <fonts count="30">
    <font>
      <sz val="12"/>
      <name val="新細明體"/>
      <family val="1"/>
      <charset val="136"/>
    </font>
    <font>
      <sz val="12"/>
      <name val="新細明體"/>
      <family val="1"/>
      <charset val="136"/>
    </font>
    <font>
      <sz val="9"/>
      <name val="新細明體"/>
      <family val="1"/>
      <charset val="136"/>
    </font>
    <font>
      <sz val="11"/>
      <name val="標楷體"/>
      <family val="4"/>
      <charset val="136"/>
    </font>
    <font>
      <sz val="11"/>
      <name val="Times New Roman"/>
      <family val="1"/>
    </font>
    <font>
      <sz val="10"/>
      <name val="Times New Roman"/>
      <family val="1"/>
    </font>
    <font>
      <sz val="10"/>
      <name val="新細明體"/>
      <family val="1"/>
      <charset val="136"/>
    </font>
    <font>
      <sz val="12"/>
      <name val="Times New Roman"/>
      <family val="1"/>
    </font>
    <font>
      <sz val="14"/>
      <name val="標楷體"/>
      <family val="4"/>
      <charset val="136"/>
    </font>
    <font>
      <sz val="9.25"/>
      <name val="標楷體"/>
      <family val="4"/>
      <charset val="136"/>
    </font>
    <font>
      <sz val="9.25"/>
      <name val="新細明體"/>
      <family val="1"/>
      <charset val="136"/>
    </font>
    <font>
      <sz val="9.25"/>
      <name val="Times New Roman"/>
      <family val="1"/>
    </font>
    <font>
      <sz val="8.5"/>
      <name val="標楷體"/>
      <family val="4"/>
      <charset val="136"/>
    </font>
    <font>
      <sz val="9.5"/>
      <name val="標楷體"/>
      <family val="4"/>
      <charset val="136"/>
    </font>
    <font>
      <sz val="8.5"/>
      <name val="新細明體"/>
      <family val="1"/>
      <charset val="136"/>
    </font>
    <font>
      <sz val="8.25"/>
      <name val="新細明體"/>
      <family val="1"/>
      <charset val="136"/>
    </font>
    <font>
      <sz val="8.75"/>
      <name val="新細明體"/>
      <family val="1"/>
      <charset val="136"/>
    </font>
    <font>
      <sz val="8.25"/>
      <name val="標楷體"/>
      <family val="4"/>
      <charset val="136"/>
    </font>
    <font>
      <b/>
      <sz val="8.25"/>
      <name val="標楷體"/>
      <family val="4"/>
      <charset val="136"/>
    </font>
    <font>
      <b/>
      <sz val="8.25"/>
      <name val="新細明體"/>
      <family val="1"/>
      <charset val="136"/>
    </font>
    <font>
      <sz val="7.25"/>
      <name val="MS Sans Serif"/>
    </font>
    <font>
      <sz val="7.25"/>
      <name val="新細明體"/>
      <family val="1"/>
      <charset val="136"/>
    </font>
    <font>
      <sz val="8"/>
      <name val="標楷體"/>
      <family val="4"/>
      <charset val="136"/>
    </font>
    <font>
      <sz val="8"/>
      <name val="新細明體"/>
      <family val="1"/>
      <charset val="136"/>
    </font>
    <font>
      <sz val="7"/>
      <name val="MS Sans Serif"/>
    </font>
    <font>
      <sz val="7"/>
      <name val="新細明體"/>
      <family val="1"/>
      <charset val="136"/>
    </font>
    <font>
      <sz val="6"/>
      <name val="新細明體"/>
      <family val="1"/>
      <charset val="136"/>
    </font>
    <font>
      <b/>
      <sz val="6"/>
      <name val="新細明體"/>
      <family val="1"/>
      <charset val="136"/>
    </font>
    <font>
      <b/>
      <sz val="7.25"/>
      <name val="新細明體"/>
      <family val="1"/>
      <charset val="136"/>
    </font>
    <font>
      <b/>
      <sz val="7"/>
      <name val="新細明體"/>
      <family val="1"/>
      <charset val="136"/>
    </font>
  </fonts>
  <fills count="2">
    <fill>
      <patternFill patternType="none"/>
    </fill>
    <fill>
      <patternFill patternType="gray125"/>
    </fill>
  </fills>
  <borders count="28">
    <border>
      <left/>
      <right/>
      <top/>
      <bottom/>
      <diagonal/>
    </border>
    <border>
      <left style="medium">
        <color indexed="64"/>
      </left>
      <right style="thin">
        <color indexed="64"/>
      </right>
      <top/>
      <bottom/>
      <diagonal/>
    </border>
    <border>
      <left style="thin">
        <color indexed="64"/>
      </left>
      <right style="thin">
        <color indexed="64"/>
      </right>
      <top/>
      <bottom/>
      <diagonal/>
    </border>
    <border>
      <left/>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128">
    <xf numFmtId="0" fontId="0" fillId="0" borderId="0" xfId="0"/>
    <xf numFmtId="0" fontId="3" fillId="0" borderId="0" xfId="0" applyFont="1"/>
    <xf numFmtId="0" fontId="2" fillId="0" borderId="0" xfId="0" applyFont="1" applyBorder="1"/>
    <xf numFmtId="0" fontId="6" fillId="0" borderId="0" xfId="0" applyFont="1"/>
    <xf numFmtId="0" fontId="11" fillId="0" borderId="1" xfId="0" applyFont="1" applyBorder="1" applyAlignment="1">
      <alignment horizontal="center" wrapText="1"/>
    </xf>
    <xf numFmtId="0" fontId="11" fillId="0" borderId="2" xfId="0" applyFont="1" applyBorder="1" applyAlignment="1">
      <alignment horizontal="center" wrapText="1"/>
    </xf>
    <xf numFmtId="0" fontId="10" fillId="0" borderId="2" xfId="0" applyFont="1" applyBorder="1" applyAlignment="1">
      <alignment horizontal="center" wrapText="1"/>
    </xf>
    <xf numFmtId="0" fontId="5" fillId="0" borderId="3" xfId="0" applyFont="1" applyBorder="1" applyAlignment="1">
      <alignment horizontal="right" wrapText="1"/>
    </xf>
    <xf numFmtId="0" fontId="10" fillId="0" borderId="0" xfId="0" applyFont="1" applyBorder="1" applyAlignment="1">
      <alignment horizontal="center" wrapText="1"/>
    </xf>
    <xf numFmtId="0" fontId="4" fillId="0" borderId="4" xfId="0" applyFont="1" applyBorder="1" applyAlignment="1">
      <alignment horizontal="right" wrapText="1"/>
    </xf>
    <xf numFmtId="0" fontId="11" fillId="0" borderId="5" xfId="0" applyFont="1" applyBorder="1" applyAlignment="1">
      <alignment horizontal="center" wrapText="1"/>
    </xf>
    <xf numFmtId="0" fontId="7" fillId="0" borderId="6" xfId="0" applyFont="1" applyBorder="1" applyAlignment="1">
      <alignment horizontal="right"/>
    </xf>
    <xf numFmtId="0" fontId="9" fillId="0" borderId="7" xfId="0" applyFont="1" applyBorder="1" applyAlignment="1">
      <alignment horizontal="center" vertical="center" wrapText="1"/>
    </xf>
    <xf numFmtId="0" fontId="5" fillId="0" borderId="6" xfId="0" applyFont="1" applyBorder="1" applyAlignment="1">
      <alignment horizontal="center"/>
    </xf>
    <xf numFmtId="0" fontId="9" fillId="0" borderId="8" xfId="0" applyFont="1" applyBorder="1" applyAlignment="1">
      <alignment horizontal="center" vertical="center" wrapText="1"/>
    </xf>
    <xf numFmtId="0" fontId="5" fillId="0" borderId="4" xfId="0" applyFont="1" applyBorder="1" applyAlignment="1">
      <alignment horizontal="right" wrapText="1"/>
    </xf>
    <xf numFmtId="0" fontId="6" fillId="0" borderId="0" xfId="0" applyFont="1" applyBorder="1"/>
    <xf numFmtId="0" fontId="7" fillId="0" borderId="9" xfId="0" applyFont="1" applyBorder="1" applyAlignment="1">
      <alignment horizontal="right"/>
    </xf>
    <xf numFmtId="0" fontId="0" fillId="0" borderId="3" xfId="0" applyBorder="1" applyAlignment="1">
      <alignment horizontal="left" vertical="center"/>
    </xf>
    <xf numFmtId="0" fontId="13" fillId="0" borderId="3" xfId="0" applyFont="1" applyBorder="1" applyAlignment="1">
      <alignment horizontal="right"/>
    </xf>
    <xf numFmtId="0" fontId="9" fillId="0" borderId="0" xfId="0" applyFont="1" applyBorder="1" applyAlignment="1">
      <alignment horizontal="center" vertical="center" wrapText="1"/>
    </xf>
    <xf numFmtId="0" fontId="9" fillId="0" borderId="10" xfId="0" applyFont="1" applyBorder="1" applyAlignment="1">
      <alignment horizontal="center" vertical="center"/>
    </xf>
    <xf numFmtId="0" fontId="9" fillId="0" borderId="1" xfId="0" applyFont="1" applyBorder="1" applyAlignment="1">
      <alignment horizontal="center" vertical="center"/>
    </xf>
    <xf numFmtId="0" fontId="5" fillId="0" borderId="3" xfId="0" applyFont="1" applyBorder="1" applyAlignment="1">
      <alignment horizontal="center"/>
    </xf>
    <xf numFmtId="0" fontId="9" fillId="0" borderId="2" xfId="0" applyFont="1" applyBorder="1" applyAlignment="1">
      <alignment horizontal="center" vertical="center" wrapText="1"/>
    </xf>
    <xf numFmtId="0" fontId="5" fillId="0" borderId="4" xfId="0" applyFont="1" applyBorder="1" applyAlignment="1">
      <alignment horizontal="center"/>
    </xf>
    <xf numFmtId="0" fontId="0" fillId="0" borderId="0" xfId="0" applyBorder="1" applyAlignment="1">
      <alignment horizontal="left" vertical="center"/>
    </xf>
    <xf numFmtId="0" fontId="9" fillId="0" borderId="0" xfId="0" applyFont="1" applyBorder="1" applyAlignment="1">
      <alignment horizontal="center" vertical="center"/>
    </xf>
    <xf numFmtId="0" fontId="9"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11" xfId="0" applyFont="1" applyBorder="1" applyAlignment="1">
      <alignment horizontal="center" vertical="center"/>
    </xf>
    <xf numFmtId="0" fontId="0" fillId="0" borderId="13" xfId="0" applyBorder="1" applyAlignment="1">
      <alignment horizontal="center"/>
    </xf>
    <xf numFmtId="0" fontId="9" fillId="0" borderId="11" xfId="0" applyFont="1" applyBorder="1" applyAlignment="1">
      <alignment vertical="center"/>
    </xf>
    <xf numFmtId="0" fontId="14" fillId="0" borderId="14" xfId="0" applyFont="1" applyBorder="1" applyAlignment="1">
      <alignment horizontal="center" vertical="center"/>
    </xf>
    <xf numFmtId="0" fontId="5" fillId="0" borderId="0" xfId="0" applyFont="1"/>
    <xf numFmtId="0" fontId="16" fillId="0" borderId="0" xfId="0" applyFont="1" applyAlignment="1">
      <alignment horizontal="right"/>
    </xf>
    <xf numFmtId="0" fontId="11" fillId="0" borderId="15" xfId="0" applyFont="1" applyBorder="1" applyAlignment="1">
      <alignment horizontal="center" wrapText="1"/>
    </xf>
    <xf numFmtId="0" fontId="7" fillId="0" borderId="17" xfId="0" applyFont="1" applyBorder="1" applyAlignment="1">
      <alignment horizontal="right"/>
    </xf>
    <xf numFmtId="0" fontId="10" fillId="0" borderId="1" xfId="0" applyFont="1" applyBorder="1" applyAlignment="1">
      <alignment horizontal="center" wrapText="1"/>
    </xf>
    <xf numFmtId="0" fontId="4" fillId="0" borderId="9" xfId="0" applyFont="1" applyBorder="1" applyAlignment="1">
      <alignment horizontal="right" wrapText="1"/>
    </xf>
    <xf numFmtId="0" fontId="9" fillId="0" borderId="18" xfId="0" applyFont="1" applyBorder="1" applyAlignment="1">
      <alignment horizontal="center" vertical="top"/>
    </xf>
    <xf numFmtId="0" fontId="15" fillId="0" borderId="19" xfId="0" applyFont="1" applyBorder="1" applyAlignment="1">
      <alignment horizontal="center" wrapText="1"/>
    </xf>
    <xf numFmtId="0" fontId="0" fillId="0" borderId="20" xfId="0" applyBorder="1" applyAlignment="1">
      <alignment horizontal="center"/>
    </xf>
    <xf numFmtId="0" fontId="14" fillId="0" borderId="13" xfId="0" applyFont="1" applyBorder="1" applyAlignment="1">
      <alignment horizontal="center" vertical="center"/>
    </xf>
    <xf numFmtId="0" fontId="12" fillId="0" borderId="0" xfId="0" applyFont="1" applyBorder="1" applyAlignment="1">
      <alignment horizontal="left" vertical="top"/>
    </xf>
    <xf numFmtId="0" fontId="0" fillId="0" borderId="0" xfId="0" applyBorder="1" applyAlignment="1">
      <alignment horizontal="left" vertical="top"/>
    </xf>
    <xf numFmtId="0" fontId="15" fillId="0" borderId="0" xfId="0" applyFont="1" applyBorder="1" applyAlignment="1">
      <alignment vertical="top" wrapText="1"/>
    </xf>
    <xf numFmtId="0" fontId="1" fillId="0" borderId="0" xfId="0" applyFont="1" applyAlignment="1">
      <alignment horizontal="center" vertical="center"/>
    </xf>
    <xf numFmtId="0" fontId="8" fillId="0" borderId="0" xfId="0" applyFont="1" applyAlignment="1">
      <alignment horizontal="center" vertical="center"/>
    </xf>
    <xf numFmtId="0" fontId="15" fillId="0" borderId="8"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0" xfId="0" applyFont="1" applyBorder="1" applyAlignment="1">
      <alignment horizontal="center" vertical="center"/>
    </xf>
    <xf numFmtId="0" fontId="15" fillId="0" borderId="3" xfId="0" applyFont="1" applyBorder="1" applyAlignment="1">
      <alignment horizontal="center" vertical="center"/>
    </xf>
    <xf numFmtId="0" fontId="9" fillId="0" borderId="26" xfId="0" applyFont="1" applyBorder="1" applyAlignment="1">
      <alignment horizontal="center" vertical="center"/>
    </xf>
    <xf numFmtId="0" fontId="9" fillId="0" borderId="27" xfId="0" applyFont="1" applyBorder="1" applyAlignment="1">
      <alignment horizontal="center" vertical="center"/>
    </xf>
    <xf numFmtId="0" fontId="9" fillId="0" borderId="27" xfId="0" applyFont="1" applyBorder="1" applyAlignment="1">
      <alignment vertical="center"/>
    </xf>
    <xf numFmtId="0" fontId="14" fillId="0" borderId="8" xfId="0" applyFont="1" applyBorder="1" applyAlignment="1">
      <alignment horizontal="center" vertical="center"/>
    </xf>
    <xf numFmtId="0" fontId="0" fillId="0" borderId="8" xfId="0" applyBorder="1" applyAlignment="1">
      <alignment horizontal="center"/>
    </xf>
    <xf numFmtId="0" fontId="9" fillId="0" borderId="8" xfId="0" applyFont="1" applyBorder="1" applyAlignment="1">
      <alignment horizontal="center" vertical="center" wrapText="1"/>
    </xf>
    <xf numFmtId="0" fontId="9" fillId="0" borderId="0"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12" fillId="0" borderId="8" xfId="0" applyFont="1" applyBorder="1" applyAlignment="1">
      <alignment horizontal="left" vertical="top" wrapText="1"/>
    </xf>
    <xf numFmtId="0" fontId="0" fillId="0" borderId="8" xfId="0" applyBorder="1" applyAlignment="1">
      <alignment horizontal="left" vertical="top" wrapText="1"/>
    </xf>
    <xf numFmtId="0" fontId="15" fillId="0" borderId="8" xfId="0" applyFont="1" applyBorder="1" applyAlignment="1">
      <alignment vertical="top" wrapText="1"/>
    </xf>
    <xf numFmtId="0" fontId="9" fillId="0" borderId="22"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15" fillId="0" borderId="2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4" xfId="0" applyFont="1" applyBorder="1" applyAlignment="1">
      <alignment horizontal="center" vertical="center"/>
    </xf>
    <xf numFmtId="0" fontId="15" fillId="0" borderId="21" xfId="0" applyFont="1" applyBorder="1" applyAlignment="1">
      <alignment horizontal="center" vertical="center"/>
    </xf>
    <xf numFmtId="0" fontId="15" fillId="0" borderId="25" xfId="0" applyFont="1" applyBorder="1" applyAlignment="1">
      <alignment horizontal="center" vertical="center"/>
    </xf>
    <xf numFmtId="0" fontId="15" fillId="0" borderId="1" xfId="0" applyFont="1" applyBorder="1" applyAlignment="1">
      <alignment horizontal="center" vertical="center"/>
    </xf>
    <xf numFmtId="0" fontId="15" fillId="0" borderId="9" xfId="0" applyFont="1" applyBorder="1" applyAlignment="1">
      <alignment horizontal="center" vertical="center"/>
    </xf>
    <xf numFmtId="0" fontId="14" fillId="0" borderId="27" xfId="0" applyFont="1" applyBorder="1" applyAlignment="1">
      <alignment horizontal="center" vertical="center"/>
    </xf>
    <xf numFmtId="0" fontId="0" fillId="0" borderId="27" xfId="0" applyBorder="1" applyAlignment="1">
      <alignment horizontal="center"/>
    </xf>
    <xf numFmtId="0" fontId="17" fillId="0" borderId="0" xfId="0" applyFont="1"/>
    <xf numFmtId="0" fontId="17" fillId="0" borderId="0" xfId="0" applyFont="1" applyAlignment="1">
      <alignment wrapText="1"/>
    </xf>
    <xf numFmtId="0" fontId="17" fillId="0" borderId="0" xfId="0" applyFont="1" applyBorder="1" applyAlignment="1">
      <alignment horizontal="left" vertical="top" wrapText="1"/>
    </xf>
    <xf numFmtId="0" fontId="18" fillId="0" borderId="0" xfId="0" applyFont="1" applyBorder="1" applyAlignment="1">
      <alignment horizontal="left" vertical="top" wrapText="1"/>
    </xf>
    <xf numFmtId="180" fontId="15" fillId="0" borderId="1" xfId="0" applyNumberFormat="1" applyFont="1" applyBorder="1" applyAlignment="1">
      <alignment horizontal="right" vertical="top"/>
    </xf>
    <xf numFmtId="180" fontId="19" fillId="0" borderId="1" xfId="0" applyNumberFormat="1" applyFont="1" applyBorder="1" applyAlignment="1">
      <alignment horizontal="right" vertical="top"/>
    </xf>
    <xf numFmtId="179" fontId="15" fillId="0" borderId="2" xfId="0" applyNumberFormat="1" applyFont="1" applyBorder="1" applyAlignment="1">
      <alignment horizontal="right" vertical="top"/>
    </xf>
    <xf numFmtId="180" fontId="15" fillId="0" borderId="2" xfId="0" applyNumberFormat="1" applyFont="1" applyBorder="1" applyAlignment="1">
      <alignment horizontal="right" vertical="top"/>
    </xf>
    <xf numFmtId="180" fontId="19" fillId="0" borderId="2" xfId="0" applyNumberFormat="1" applyFont="1" applyBorder="1" applyAlignment="1">
      <alignment horizontal="right" vertical="top"/>
    </xf>
    <xf numFmtId="181" fontId="15" fillId="0" borderId="2" xfId="0" applyNumberFormat="1" applyFont="1" applyBorder="1" applyAlignment="1">
      <alignment horizontal="right" vertical="top"/>
    </xf>
    <xf numFmtId="0" fontId="20" fillId="0" borderId="0" xfId="0" applyFont="1" applyBorder="1" applyAlignment="1">
      <alignment horizontal="center" vertical="top" wrapText="1"/>
    </xf>
    <xf numFmtId="177" fontId="20" fillId="0" borderId="2" xfId="0" applyNumberFormat="1" applyFont="1" applyBorder="1" applyAlignment="1">
      <alignment horizontal="center" vertical="top" wrapText="1"/>
    </xf>
    <xf numFmtId="178" fontId="20" fillId="0" borderId="2" xfId="0" applyNumberFormat="1" applyFont="1" applyBorder="1" applyAlignment="1">
      <alignment horizontal="center" vertical="top" wrapText="1"/>
    </xf>
    <xf numFmtId="0" fontId="21" fillId="0" borderId="0" xfId="0" applyFont="1" applyBorder="1" applyAlignment="1">
      <alignment horizontal="center" vertical="top" wrapText="1"/>
    </xf>
    <xf numFmtId="177" fontId="21" fillId="0" borderId="2" xfId="0" applyNumberFormat="1" applyFont="1" applyBorder="1" applyAlignment="1">
      <alignment horizontal="center" vertical="top" wrapText="1"/>
    </xf>
    <xf numFmtId="178" fontId="21" fillId="0" borderId="2" xfId="0" applyNumberFormat="1" applyFont="1" applyBorder="1" applyAlignment="1">
      <alignment horizontal="center" vertical="top" wrapText="1"/>
    </xf>
    <xf numFmtId="49" fontId="22" fillId="0" borderId="1" xfId="0" applyNumberFormat="1" applyFont="1" applyBorder="1" applyAlignment="1">
      <alignment horizontal="center" vertical="center"/>
    </xf>
    <xf numFmtId="49" fontId="22" fillId="0" borderId="7" xfId="0" applyNumberFormat="1" applyFont="1" applyBorder="1" applyAlignment="1">
      <alignment horizontal="center" vertical="top"/>
    </xf>
    <xf numFmtId="49" fontId="22" fillId="0" borderId="7" xfId="0" applyNumberFormat="1" applyFont="1" applyBorder="1" applyAlignment="1">
      <alignment horizontal="center" vertical="top" wrapText="1"/>
    </xf>
    <xf numFmtId="49" fontId="22" fillId="0" borderId="2" xfId="0" applyNumberFormat="1" applyFont="1" applyBorder="1" applyAlignment="1">
      <alignment horizontal="center" vertical="top" wrapText="1"/>
    </xf>
    <xf numFmtId="49" fontId="23" fillId="0" borderId="9" xfId="0" applyNumberFormat="1" applyFont="1" applyBorder="1" applyAlignment="1">
      <alignment horizontal="center"/>
    </xf>
    <xf numFmtId="49" fontId="23" fillId="0" borderId="6" xfId="0" applyNumberFormat="1" applyFont="1" applyBorder="1" applyAlignment="1">
      <alignment horizontal="center" wrapText="1"/>
    </xf>
    <xf numFmtId="49" fontId="23" fillId="0" borderId="4" xfId="0" applyNumberFormat="1" applyFont="1" applyBorder="1" applyAlignment="1">
      <alignment horizontal="center" wrapText="1"/>
    </xf>
    <xf numFmtId="0" fontId="15" fillId="0" borderId="0" xfId="0" applyFont="1"/>
    <xf numFmtId="0" fontId="15" fillId="0" borderId="0" xfId="0" applyFont="1" applyAlignment="1">
      <alignment wrapText="1"/>
    </xf>
    <xf numFmtId="178" fontId="24" fillId="0" borderId="2" xfId="0" applyNumberFormat="1" applyFont="1" applyBorder="1" applyAlignment="1">
      <alignment horizontal="center" vertical="top" wrapText="1"/>
    </xf>
    <xf numFmtId="177" fontId="24" fillId="0" borderId="2" xfId="0" applyNumberFormat="1" applyFont="1" applyBorder="1" applyAlignment="1">
      <alignment horizontal="center" vertical="top" wrapText="1"/>
    </xf>
    <xf numFmtId="0" fontId="24" fillId="0" borderId="0" xfId="0" applyFont="1" applyBorder="1" applyAlignment="1">
      <alignment horizontal="center" vertical="top" wrapText="1"/>
    </xf>
    <xf numFmtId="0" fontId="25" fillId="0" borderId="0" xfId="0" applyFont="1" applyBorder="1" applyAlignment="1">
      <alignment horizontal="center" vertical="top" wrapText="1"/>
    </xf>
    <xf numFmtId="177" fontId="25" fillId="0" borderId="2" xfId="0" applyNumberFormat="1" applyFont="1" applyBorder="1" applyAlignment="1">
      <alignment horizontal="center" vertical="top" wrapText="1"/>
    </xf>
    <xf numFmtId="178" fontId="25" fillId="0" borderId="2" xfId="0" applyNumberFormat="1" applyFont="1" applyBorder="1" applyAlignment="1">
      <alignment horizontal="center" vertical="top" wrapText="1"/>
    </xf>
    <xf numFmtId="180" fontId="15" fillId="0" borderId="7" xfId="0" applyNumberFormat="1" applyFont="1" applyBorder="1" applyAlignment="1">
      <alignment horizontal="right" vertical="top"/>
    </xf>
    <xf numFmtId="180" fontId="19" fillId="0" borderId="7" xfId="0" applyNumberFormat="1" applyFont="1" applyBorder="1" applyAlignment="1">
      <alignment horizontal="right" vertical="top"/>
    </xf>
    <xf numFmtId="0" fontId="15" fillId="0" borderId="16" xfId="0" applyFont="1" applyBorder="1" applyAlignment="1">
      <alignment horizontal="right" vertical="top"/>
    </xf>
    <xf numFmtId="0" fontId="19" fillId="0" borderId="16" xfId="0" applyFont="1" applyBorder="1" applyAlignment="1">
      <alignment horizontal="right" vertical="top"/>
    </xf>
    <xf numFmtId="0" fontId="26" fillId="0" borderId="1" xfId="0" applyFont="1" applyBorder="1" applyAlignment="1">
      <alignment horizontal="left" vertical="top" wrapText="1"/>
    </xf>
    <xf numFmtId="0" fontId="27" fillId="0" borderId="1" xfId="0" applyFont="1" applyBorder="1" applyAlignment="1">
      <alignment horizontal="left" vertical="top" wrapText="1"/>
    </xf>
    <xf numFmtId="181" fontId="15" fillId="0" borderId="7" xfId="0" applyNumberFormat="1" applyFont="1" applyBorder="1" applyAlignment="1">
      <alignment horizontal="right" vertical="top"/>
    </xf>
    <xf numFmtId="49" fontId="22" fillId="0" borderId="2" xfId="0" applyNumberFormat="1" applyFont="1" applyBorder="1" applyAlignment="1">
      <alignment horizontal="center" vertical="top"/>
    </xf>
    <xf numFmtId="182" fontId="15" fillId="0" borderId="7" xfId="0" applyNumberFormat="1" applyFont="1" applyBorder="1" applyAlignment="1">
      <alignment horizontal="right" vertical="top"/>
    </xf>
    <xf numFmtId="182" fontId="15" fillId="0" borderId="2" xfId="0" applyNumberFormat="1" applyFont="1" applyBorder="1" applyAlignment="1">
      <alignment horizontal="right" vertical="top"/>
    </xf>
    <xf numFmtId="181" fontId="15" fillId="0" borderId="1" xfId="0" applyNumberFormat="1" applyFont="1" applyBorder="1" applyAlignment="1">
      <alignment horizontal="right" vertical="top"/>
    </xf>
    <xf numFmtId="181" fontId="19" fillId="0" borderId="2" xfId="0" applyNumberFormat="1" applyFont="1" applyBorder="1" applyAlignment="1">
      <alignment horizontal="right" vertical="top"/>
    </xf>
    <xf numFmtId="181" fontId="19" fillId="0" borderId="7" xfId="0" applyNumberFormat="1" applyFont="1" applyBorder="1" applyAlignment="1">
      <alignment horizontal="right" vertical="top"/>
    </xf>
    <xf numFmtId="183" fontId="15" fillId="0" borderId="2" xfId="0" applyNumberFormat="1" applyFont="1" applyBorder="1" applyAlignment="1">
      <alignment horizontal="right" vertical="top"/>
    </xf>
    <xf numFmtId="0" fontId="28" fillId="0" borderId="0" xfId="0" applyFont="1" applyBorder="1" applyAlignment="1">
      <alignment horizontal="center" vertical="top" wrapText="1"/>
    </xf>
    <xf numFmtId="0" fontId="29" fillId="0" borderId="0" xfId="0" applyFont="1" applyBorder="1" applyAlignment="1">
      <alignment horizontal="center" vertical="top" wrapText="1"/>
    </xf>
    <xf numFmtId="0" fontId="15" fillId="0" borderId="7" xfId="0" applyFont="1" applyBorder="1" applyAlignment="1">
      <alignment horizontal="right" vertical="top"/>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5"/>
  <sheetViews>
    <sheetView tabSelected="1"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107</v>
      </c>
      <c r="B1" s="48"/>
      <c r="C1" s="48"/>
      <c r="D1" s="48"/>
      <c r="E1" s="48"/>
      <c r="F1" s="48"/>
      <c r="G1" s="48"/>
      <c r="H1" s="48"/>
      <c r="I1" s="47" t="s">
        <v>169</v>
      </c>
      <c r="J1" s="47"/>
      <c r="K1" s="47"/>
      <c r="L1" s="47"/>
      <c r="M1" s="47"/>
      <c r="N1" s="47"/>
      <c r="O1" s="47"/>
      <c r="P1" s="47"/>
      <c r="Q1" s="47"/>
    </row>
    <row r="2" spans="1:17" ht="15" customHeight="1" thickBot="1">
      <c r="A2" s="16"/>
      <c r="B2" s="16"/>
      <c r="C2" s="16"/>
      <c r="D2" s="16"/>
      <c r="E2" s="1"/>
      <c r="F2" s="18"/>
      <c r="G2" s="18"/>
      <c r="H2" s="19" t="s">
        <v>37</v>
      </c>
      <c r="J2" s="1"/>
      <c r="K2" s="1"/>
      <c r="L2" s="1"/>
      <c r="M2" s="1"/>
      <c r="N2" s="26"/>
      <c r="O2" s="26"/>
      <c r="P2" s="26"/>
      <c r="Q2" s="35" t="s">
        <v>17</v>
      </c>
    </row>
    <row r="3" spans="1:17" ht="12" customHeight="1">
      <c r="A3" s="58" t="s">
        <v>35</v>
      </c>
      <c r="B3" s="61" t="s">
        <v>36</v>
      </c>
      <c r="C3" s="61" t="s">
        <v>1</v>
      </c>
      <c r="D3" s="67" t="s">
        <v>0</v>
      </c>
      <c r="E3" s="21" t="s">
        <v>3</v>
      </c>
      <c r="F3" s="53" t="s">
        <v>2</v>
      </c>
      <c r="G3" s="54"/>
      <c r="H3" s="55"/>
      <c r="I3" s="56" t="s">
        <v>4</v>
      </c>
      <c r="J3" s="56"/>
      <c r="K3" s="56"/>
      <c r="L3" s="56"/>
      <c r="M3" s="57"/>
      <c r="N3" s="75" t="s">
        <v>5</v>
      </c>
      <c r="O3" s="74" t="s">
        <v>6</v>
      </c>
      <c r="P3" s="70" t="s">
        <v>7</v>
      </c>
      <c r="Q3" s="49" t="s">
        <v>8</v>
      </c>
    </row>
    <row r="4" spans="1:17" ht="5.0999999999999996" customHeight="1">
      <c r="A4" s="59"/>
      <c r="B4" s="62"/>
      <c r="C4" s="62"/>
      <c r="D4" s="68"/>
      <c r="E4" s="22"/>
      <c r="F4" s="27"/>
      <c r="G4" s="28"/>
      <c r="H4" s="32"/>
      <c r="I4" s="33"/>
      <c r="J4" s="30"/>
      <c r="K4" s="30"/>
      <c r="L4" s="43"/>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4.1" customHeight="1">
      <c r="A8" s="90"/>
      <c r="B8" s="91"/>
      <c r="C8" s="92"/>
      <c r="D8" s="83" t="s">
        <v>105</v>
      </c>
      <c r="E8" s="85">
        <v>1647005</v>
      </c>
      <c r="F8" s="88">
        <v>732456</v>
      </c>
      <c r="G8" s="88">
        <v>8459400</v>
      </c>
      <c r="H8" s="88">
        <v>781641</v>
      </c>
      <c r="I8" s="112">
        <v>8335046</v>
      </c>
      <c r="J8" s="112">
        <v>804654</v>
      </c>
      <c r="K8" s="112">
        <v>10387743</v>
      </c>
      <c r="L8" s="112">
        <v>54721220</v>
      </c>
      <c r="M8" s="114" t="s">
        <v>110</v>
      </c>
      <c r="N8" s="116" t="s">
        <v>111</v>
      </c>
      <c r="O8" s="105"/>
      <c r="P8" s="106"/>
      <c r="Q8" s="107"/>
    </row>
    <row r="9" spans="1:17" ht="14.1" customHeight="1">
      <c r="A9" s="93" t="s">
        <v>93</v>
      </c>
      <c r="B9" s="91"/>
      <c r="C9" s="92"/>
      <c r="D9" s="83" t="s">
        <v>44</v>
      </c>
      <c r="E9" s="85">
        <v>11133</v>
      </c>
      <c r="F9" s="88">
        <v>188</v>
      </c>
      <c r="G9" s="88">
        <v>13784</v>
      </c>
      <c r="H9" s="88">
        <v>178</v>
      </c>
      <c r="I9" s="112">
        <v>12598</v>
      </c>
      <c r="J9" s="112">
        <v>163</v>
      </c>
      <c r="K9" s="112">
        <v>15237</v>
      </c>
      <c r="L9" s="112">
        <v>78939</v>
      </c>
      <c r="M9" s="114" t="s">
        <v>110</v>
      </c>
      <c r="N9" s="116" t="s">
        <v>112</v>
      </c>
      <c r="O9" s="105"/>
      <c r="P9" s="106"/>
      <c r="Q9" s="108" t="s">
        <v>93</v>
      </c>
    </row>
    <row r="10" spans="1:17" ht="10.5" customHeight="1">
      <c r="A10" s="90"/>
      <c r="B10" s="94">
        <v>1</v>
      </c>
      <c r="C10" s="92"/>
      <c r="D10" s="82" t="s">
        <v>45</v>
      </c>
      <c r="E10" s="84">
        <v>8517</v>
      </c>
      <c r="F10" s="87">
        <v>178</v>
      </c>
      <c r="G10" s="87">
        <v>9644</v>
      </c>
      <c r="H10" s="87">
        <v>170</v>
      </c>
      <c r="I10" s="111">
        <v>9788</v>
      </c>
      <c r="J10" s="111">
        <v>153</v>
      </c>
      <c r="K10" s="111">
        <v>11543</v>
      </c>
      <c r="L10" s="111">
        <v>60507</v>
      </c>
      <c r="M10" s="113" t="s">
        <v>110</v>
      </c>
      <c r="N10" s="115" t="s">
        <v>113</v>
      </c>
      <c r="O10" s="105"/>
      <c r="P10" s="109">
        <v>1</v>
      </c>
      <c r="Q10" s="107"/>
    </row>
    <row r="11" spans="1:17" ht="10.5" customHeight="1">
      <c r="A11" s="90"/>
      <c r="B11" s="91"/>
      <c r="C11" s="95">
        <v>11</v>
      </c>
      <c r="D11" s="82" t="s">
        <v>46</v>
      </c>
      <c r="E11" s="84">
        <v>5752</v>
      </c>
      <c r="F11" s="87">
        <v>121</v>
      </c>
      <c r="G11" s="87">
        <v>4829</v>
      </c>
      <c r="H11" s="87">
        <v>116</v>
      </c>
      <c r="I11" s="111">
        <v>4692</v>
      </c>
      <c r="J11" s="111">
        <v>103</v>
      </c>
      <c r="K11" s="111">
        <v>5861</v>
      </c>
      <c r="L11" s="111">
        <v>30811</v>
      </c>
      <c r="M11" s="113" t="s">
        <v>110</v>
      </c>
      <c r="N11" s="115" t="s">
        <v>114</v>
      </c>
      <c r="O11" s="110">
        <v>11</v>
      </c>
      <c r="P11" s="106"/>
      <c r="Q11" s="107"/>
    </row>
    <row r="12" spans="1:17" ht="10.5" customHeight="1">
      <c r="A12" s="90"/>
      <c r="B12" s="91"/>
      <c r="C12" s="95">
        <v>12</v>
      </c>
      <c r="D12" s="82" t="s">
        <v>47</v>
      </c>
      <c r="E12" s="84">
        <v>1221</v>
      </c>
      <c r="F12" s="87">
        <v>24</v>
      </c>
      <c r="G12" s="87">
        <v>2807</v>
      </c>
      <c r="H12" s="87">
        <v>17</v>
      </c>
      <c r="I12" s="111">
        <v>2945</v>
      </c>
      <c r="J12" s="111">
        <v>17</v>
      </c>
      <c r="K12" s="111">
        <v>2948</v>
      </c>
      <c r="L12" s="111">
        <v>16778</v>
      </c>
      <c r="M12" s="113" t="s">
        <v>110</v>
      </c>
      <c r="N12" s="115" t="s">
        <v>115</v>
      </c>
      <c r="O12" s="110">
        <v>12</v>
      </c>
      <c r="P12" s="106"/>
      <c r="Q12" s="107"/>
    </row>
    <row r="13" spans="1:17" ht="10.5" customHeight="1">
      <c r="A13" s="90"/>
      <c r="B13" s="91"/>
      <c r="C13" s="95">
        <v>13</v>
      </c>
      <c r="D13" s="82" t="s">
        <v>48</v>
      </c>
      <c r="E13" s="84">
        <v>1544</v>
      </c>
      <c r="F13" s="87">
        <v>33</v>
      </c>
      <c r="G13" s="87">
        <v>2008</v>
      </c>
      <c r="H13" s="87">
        <v>37</v>
      </c>
      <c r="I13" s="111">
        <v>2151</v>
      </c>
      <c r="J13" s="111">
        <v>33</v>
      </c>
      <c r="K13" s="111">
        <v>2734</v>
      </c>
      <c r="L13" s="111">
        <v>12919</v>
      </c>
      <c r="M13" s="113" t="s">
        <v>110</v>
      </c>
      <c r="N13" s="115" t="s">
        <v>116</v>
      </c>
      <c r="O13" s="110">
        <v>13</v>
      </c>
      <c r="P13" s="106"/>
      <c r="Q13" s="107"/>
    </row>
    <row r="14" spans="1:17" ht="10.5" customHeight="1">
      <c r="A14" s="90"/>
      <c r="B14" s="94">
        <v>2</v>
      </c>
      <c r="C14" s="92"/>
      <c r="D14" s="82" t="s">
        <v>49</v>
      </c>
      <c r="E14" s="84">
        <v>313</v>
      </c>
      <c r="F14" s="87">
        <v>1</v>
      </c>
      <c r="G14" s="87">
        <v>675</v>
      </c>
      <c r="H14" s="87">
        <v>1</v>
      </c>
      <c r="I14" s="111">
        <v>347</v>
      </c>
      <c r="J14" s="111">
        <v>1</v>
      </c>
      <c r="K14" s="111">
        <v>446</v>
      </c>
      <c r="L14" s="111">
        <v>2259</v>
      </c>
      <c r="M14" s="113" t="s">
        <v>110</v>
      </c>
      <c r="N14" s="115" t="s">
        <v>117</v>
      </c>
      <c r="O14" s="105"/>
      <c r="P14" s="109">
        <v>2</v>
      </c>
      <c r="Q14" s="107"/>
    </row>
    <row r="15" spans="1:17" ht="10.5" customHeight="1">
      <c r="A15" s="90"/>
      <c r="B15" s="91"/>
      <c r="C15" s="95">
        <v>20</v>
      </c>
      <c r="D15" s="82" t="s">
        <v>50</v>
      </c>
      <c r="E15" s="84">
        <v>313</v>
      </c>
      <c r="F15" s="87">
        <v>1</v>
      </c>
      <c r="G15" s="87">
        <v>675</v>
      </c>
      <c r="H15" s="87">
        <v>1</v>
      </c>
      <c r="I15" s="111">
        <v>347</v>
      </c>
      <c r="J15" s="111">
        <v>1</v>
      </c>
      <c r="K15" s="111">
        <v>446</v>
      </c>
      <c r="L15" s="111">
        <v>2259</v>
      </c>
      <c r="M15" s="113" t="s">
        <v>110</v>
      </c>
      <c r="N15" s="115" t="s">
        <v>118</v>
      </c>
      <c r="O15" s="110">
        <v>20</v>
      </c>
      <c r="P15" s="106"/>
      <c r="Q15" s="107"/>
    </row>
    <row r="16" spans="1:17" ht="10.5" customHeight="1">
      <c r="A16" s="90"/>
      <c r="B16" s="94">
        <v>3</v>
      </c>
      <c r="C16" s="92"/>
      <c r="D16" s="82" t="s">
        <v>51</v>
      </c>
      <c r="E16" s="84">
        <v>2303</v>
      </c>
      <c r="F16" s="87">
        <v>9</v>
      </c>
      <c r="G16" s="87">
        <v>3465</v>
      </c>
      <c r="H16" s="87">
        <v>7</v>
      </c>
      <c r="I16" s="111">
        <v>2463</v>
      </c>
      <c r="J16" s="111">
        <v>9</v>
      </c>
      <c r="K16" s="111">
        <v>3248</v>
      </c>
      <c r="L16" s="111">
        <v>16172</v>
      </c>
      <c r="M16" s="113" t="s">
        <v>110</v>
      </c>
      <c r="N16" s="115" t="s">
        <v>119</v>
      </c>
      <c r="O16" s="105"/>
      <c r="P16" s="109">
        <v>3</v>
      </c>
      <c r="Q16" s="107"/>
    </row>
    <row r="17" spans="1:17" ht="10.5" customHeight="1">
      <c r="A17" s="90"/>
      <c r="B17" s="91"/>
      <c r="C17" s="95">
        <v>31</v>
      </c>
      <c r="D17" s="82" t="s">
        <v>52</v>
      </c>
      <c r="E17" s="84">
        <v>1867</v>
      </c>
      <c r="F17" s="87">
        <v>3</v>
      </c>
      <c r="G17" s="87">
        <v>2600</v>
      </c>
      <c r="H17" s="87">
        <v>1</v>
      </c>
      <c r="I17" s="111">
        <v>1649</v>
      </c>
      <c r="J17" s="111">
        <v>1</v>
      </c>
      <c r="K17" s="111">
        <v>2401</v>
      </c>
      <c r="L17" s="111">
        <v>11594</v>
      </c>
      <c r="M17" s="113" t="s">
        <v>110</v>
      </c>
      <c r="N17" s="115" t="s">
        <v>120</v>
      </c>
      <c r="O17" s="110">
        <v>31</v>
      </c>
      <c r="P17" s="106"/>
      <c r="Q17" s="107"/>
    </row>
    <row r="18" spans="1:17" ht="10.5" customHeight="1">
      <c r="A18" s="90"/>
      <c r="B18" s="91"/>
      <c r="C18" s="95">
        <v>32</v>
      </c>
      <c r="D18" s="82" t="s">
        <v>53</v>
      </c>
      <c r="E18" s="84">
        <v>436</v>
      </c>
      <c r="F18" s="87">
        <v>5</v>
      </c>
      <c r="G18" s="87">
        <v>865</v>
      </c>
      <c r="H18" s="87">
        <v>5</v>
      </c>
      <c r="I18" s="111">
        <v>814</v>
      </c>
      <c r="J18" s="111">
        <v>8</v>
      </c>
      <c r="K18" s="111">
        <v>847</v>
      </c>
      <c r="L18" s="111">
        <v>4579</v>
      </c>
      <c r="M18" s="113" t="s">
        <v>110</v>
      </c>
      <c r="N18" s="115" t="s">
        <v>121</v>
      </c>
      <c r="O18" s="110">
        <v>32</v>
      </c>
      <c r="P18" s="106"/>
      <c r="Q18" s="107"/>
    </row>
    <row r="19" spans="1:17" ht="14.1" customHeight="1">
      <c r="A19" s="93" t="s">
        <v>94</v>
      </c>
      <c r="B19" s="91"/>
      <c r="C19" s="92"/>
      <c r="D19" s="83" t="s">
        <v>54</v>
      </c>
      <c r="E19" s="85">
        <v>1015</v>
      </c>
      <c r="F19" s="88">
        <v>70</v>
      </c>
      <c r="G19" s="88">
        <v>10141</v>
      </c>
      <c r="H19" s="88">
        <v>19</v>
      </c>
      <c r="I19" s="112">
        <v>10811</v>
      </c>
      <c r="J19" s="112">
        <v>19</v>
      </c>
      <c r="K19" s="112">
        <v>39323</v>
      </c>
      <c r="L19" s="112">
        <v>90436</v>
      </c>
      <c r="M19" s="114" t="s">
        <v>110</v>
      </c>
      <c r="N19" s="116" t="s">
        <v>122</v>
      </c>
      <c r="O19" s="105"/>
      <c r="P19" s="106"/>
      <c r="Q19" s="108" t="s">
        <v>94</v>
      </c>
    </row>
    <row r="20" spans="1:17" ht="10.5" customHeight="1">
      <c r="A20" s="90"/>
      <c r="B20" s="94">
        <v>5</v>
      </c>
      <c r="C20" s="92"/>
      <c r="D20" s="82" t="s">
        <v>55</v>
      </c>
      <c r="E20" s="84">
        <v>20</v>
      </c>
      <c r="F20" s="89">
        <v>0</v>
      </c>
      <c r="G20" s="87">
        <v>2689</v>
      </c>
      <c r="H20" s="89">
        <v>0</v>
      </c>
      <c r="I20" s="111">
        <v>3186</v>
      </c>
      <c r="J20" s="111">
        <v>0</v>
      </c>
      <c r="K20" s="111">
        <v>30635</v>
      </c>
      <c r="L20" s="111">
        <v>44290</v>
      </c>
      <c r="M20" s="113" t="s">
        <v>110</v>
      </c>
      <c r="N20" s="115" t="s">
        <v>123</v>
      </c>
      <c r="O20" s="105"/>
      <c r="P20" s="109">
        <v>5</v>
      </c>
      <c r="Q20" s="107"/>
    </row>
    <row r="21" spans="1:17" ht="10.5" customHeight="1">
      <c r="A21" s="90"/>
      <c r="B21" s="91"/>
      <c r="C21" s="95">
        <v>50</v>
      </c>
      <c r="D21" s="82" t="s">
        <v>56</v>
      </c>
      <c r="E21" s="84">
        <v>20</v>
      </c>
      <c r="F21" s="89">
        <v>0</v>
      </c>
      <c r="G21" s="87">
        <v>2689</v>
      </c>
      <c r="H21" s="89">
        <v>0</v>
      </c>
      <c r="I21" s="111">
        <v>3186</v>
      </c>
      <c r="J21" s="111">
        <v>0</v>
      </c>
      <c r="K21" s="111">
        <v>30635</v>
      </c>
      <c r="L21" s="111">
        <v>44290</v>
      </c>
      <c r="M21" s="113" t="s">
        <v>110</v>
      </c>
      <c r="N21" s="115" t="s">
        <v>124</v>
      </c>
      <c r="O21" s="110">
        <v>50</v>
      </c>
      <c r="P21" s="106"/>
      <c r="Q21" s="107"/>
    </row>
    <row r="22" spans="1:17" ht="10.5" customHeight="1">
      <c r="A22" s="90"/>
      <c r="B22" s="94">
        <v>6</v>
      </c>
      <c r="C22" s="92"/>
      <c r="D22" s="82" t="s">
        <v>57</v>
      </c>
      <c r="E22" s="84">
        <v>995</v>
      </c>
      <c r="F22" s="87">
        <v>70</v>
      </c>
      <c r="G22" s="87">
        <v>7452</v>
      </c>
      <c r="H22" s="87">
        <v>19</v>
      </c>
      <c r="I22" s="111">
        <v>7625</v>
      </c>
      <c r="J22" s="111">
        <v>19</v>
      </c>
      <c r="K22" s="111">
        <v>8688</v>
      </c>
      <c r="L22" s="111">
        <v>46146</v>
      </c>
      <c r="M22" s="113" t="s">
        <v>110</v>
      </c>
      <c r="N22" s="115" t="s">
        <v>125</v>
      </c>
      <c r="O22" s="105"/>
      <c r="P22" s="109">
        <v>6</v>
      </c>
      <c r="Q22" s="107"/>
    </row>
    <row r="23" spans="1:17" ht="10.5" customHeight="1">
      <c r="A23" s="90"/>
      <c r="B23" s="91"/>
      <c r="C23" s="95">
        <v>60</v>
      </c>
      <c r="D23" s="82" t="s">
        <v>58</v>
      </c>
      <c r="E23" s="84">
        <v>995</v>
      </c>
      <c r="F23" s="87">
        <v>70</v>
      </c>
      <c r="G23" s="87">
        <v>7452</v>
      </c>
      <c r="H23" s="87">
        <v>19</v>
      </c>
      <c r="I23" s="111">
        <v>7625</v>
      </c>
      <c r="J23" s="111">
        <v>19</v>
      </c>
      <c r="K23" s="111">
        <v>8688</v>
      </c>
      <c r="L23" s="111">
        <v>46146</v>
      </c>
      <c r="M23" s="113" t="s">
        <v>110</v>
      </c>
      <c r="N23" s="115" t="s">
        <v>126</v>
      </c>
      <c r="O23" s="110">
        <v>60</v>
      </c>
      <c r="P23" s="106"/>
      <c r="Q23" s="107"/>
    </row>
    <row r="24" spans="1:17" ht="14.1" customHeight="1">
      <c r="A24" s="93" t="s">
        <v>95</v>
      </c>
      <c r="B24" s="91"/>
      <c r="C24" s="92"/>
      <c r="D24" s="83" t="s">
        <v>59</v>
      </c>
      <c r="E24" s="85">
        <v>143911</v>
      </c>
      <c r="F24" s="88">
        <v>534973</v>
      </c>
      <c r="G24" s="88">
        <v>2571457</v>
      </c>
      <c r="H24" s="88">
        <v>576194</v>
      </c>
      <c r="I24" s="112">
        <v>2463695</v>
      </c>
      <c r="J24" s="112">
        <v>604889</v>
      </c>
      <c r="K24" s="112">
        <v>3105545</v>
      </c>
      <c r="L24" s="112">
        <v>18357222</v>
      </c>
      <c r="M24" s="114" t="s">
        <v>110</v>
      </c>
      <c r="N24" s="116" t="s">
        <v>127</v>
      </c>
      <c r="O24" s="105"/>
      <c r="P24" s="106"/>
      <c r="Q24" s="108" t="s">
        <v>95</v>
      </c>
    </row>
    <row r="25" spans="1:17" ht="10.5" customHeight="1">
      <c r="A25" s="90"/>
      <c r="B25" s="94">
        <v>8</v>
      </c>
      <c r="C25" s="92"/>
      <c r="D25" s="82" t="s">
        <v>60</v>
      </c>
      <c r="E25" s="84">
        <v>10004</v>
      </c>
      <c r="F25" s="87">
        <v>1479</v>
      </c>
      <c r="G25" s="87">
        <v>133649</v>
      </c>
      <c r="H25" s="87">
        <v>1684</v>
      </c>
      <c r="I25" s="111">
        <v>131684</v>
      </c>
      <c r="J25" s="111">
        <v>1335</v>
      </c>
      <c r="K25" s="111">
        <v>152699</v>
      </c>
      <c r="L25" s="111">
        <v>796273</v>
      </c>
      <c r="M25" s="113" t="s">
        <v>110</v>
      </c>
      <c r="N25" s="115" t="s">
        <v>128</v>
      </c>
      <c r="O25" s="105"/>
      <c r="P25" s="109">
        <v>8</v>
      </c>
      <c r="Q25" s="107"/>
    </row>
    <row r="26" spans="1:17" ht="10.5" customHeight="1">
      <c r="A26" s="90"/>
      <c r="B26" s="91"/>
      <c r="C26" s="95">
        <v>81</v>
      </c>
      <c r="D26" s="82" t="s">
        <v>61</v>
      </c>
      <c r="E26" s="84">
        <v>1464</v>
      </c>
      <c r="F26" s="87">
        <v>45</v>
      </c>
      <c r="G26" s="87">
        <v>14308</v>
      </c>
      <c r="H26" s="87">
        <v>98</v>
      </c>
      <c r="I26" s="111">
        <v>14276</v>
      </c>
      <c r="J26" s="111">
        <v>40</v>
      </c>
      <c r="K26" s="111">
        <v>15165</v>
      </c>
      <c r="L26" s="111">
        <v>85296</v>
      </c>
      <c r="M26" s="113" t="s">
        <v>110</v>
      </c>
      <c r="N26" s="115" t="s">
        <v>129</v>
      </c>
      <c r="O26" s="110">
        <v>81</v>
      </c>
      <c r="P26" s="106"/>
      <c r="Q26" s="107"/>
    </row>
    <row r="27" spans="1:17" ht="10.5" customHeight="1">
      <c r="A27" s="90"/>
      <c r="B27" s="91"/>
      <c r="C27" s="95">
        <v>82</v>
      </c>
      <c r="D27" s="82" t="s">
        <v>62</v>
      </c>
      <c r="E27" s="84">
        <v>297</v>
      </c>
      <c r="F27" s="87">
        <v>209</v>
      </c>
      <c r="G27" s="87">
        <v>4136</v>
      </c>
      <c r="H27" s="87">
        <v>195</v>
      </c>
      <c r="I27" s="111">
        <v>3761</v>
      </c>
      <c r="J27" s="111">
        <v>172</v>
      </c>
      <c r="K27" s="111">
        <v>4200</v>
      </c>
      <c r="L27" s="111">
        <v>24735</v>
      </c>
      <c r="M27" s="113" t="s">
        <v>110</v>
      </c>
      <c r="N27" s="115" t="s">
        <v>130</v>
      </c>
      <c r="O27" s="110">
        <v>82</v>
      </c>
      <c r="P27" s="106"/>
      <c r="Q27" s="107"/>
    </row>
    <row r="28" spans="1:17" ht="10.5" customHeight="1">
      <c r="A28" s="90"/>
      <c r="B28" s="91"/>
      <c r="C28" s="95">
        <v>83</v>
      </c>
      <c r="D28" s="82" t="s">
        <v>63</v>
      </c>
      <c r="E28" s="84">
        <v>952</v>
      </c>
      <c r="F28" s="87">
        <v>237</v>
      </c>
      <c r="G28" s="87">
        <v>7456</v>
      </c>
      <c r="H28" s="87">
        <v>207</v>
      </c>
      <c r="I28" s="111">
        <v>6716</v>
      </c>
      <c r="J28" s="111">
        <v>202</v>
      </c>
      <c r="K28" s="111">
        <v>6611</v>
      </c>
      <c r="L28" s="111">
        <v>39561</v>
      </c>
      <c r="M28" s="113" t="s">
        <v>110</v>
      </c>
      <c r="N28" s="115" t="s">
        <v>131</v>
      </c>
      <c r="O28" s="110">
        <v>83</v>
      </c>
      <c r="P28" s="106"/>
      <c r="Q28" s="107"/>
    </row>
    <row r="29" spans="1:17" ht="10.5" customHeight="1">
      <c r="A29" s="90"/>
      <c r="B29" s="91"/>
      <c r="C29" s="95">
        <v>84</v>
      </c>
      <c r="D29" s="82" t="s">
        <v>64</v>
      </c>
      <c r="E29" s="84">
        <v>227</v>
      </c>
      <c r="F29" s="87">
        <v>127</v>
      </c>
      <c r="G29" s="87">
        <v>12838</v>
      </c>
      <c r="H29" s="87">
        <v>163</v>
      </c>
      <c r="I29" s="111">
        <v>12460</v>
      </c>
      <c r="J29" s="111">
        <v>162</v>
      </c>
      <c r="K29" s="111">
        <v>13952</v>
      </c>
      <c r="L29" s="111">
        <v>78359</v>
      </c>
      <c r="M29" s="113" t="s">
        <v>110</v>
      </c>
      <c r="N29" s="115" t="s">
        <v>132</v>
      </c>
      <c r="O29" s="110">
        <v>84</v>
      </c>
      <c r="P29" s="106"/>
      <c r="Q29" s="107"/>
    </row>
    <row r="30" spans="1:17" ht="10.5" customHeight="1">
      <c r="A30" s="90"/>
      <c r="B30" s="91"/>
      <c r="C30" s="95">
        <v>85</v>
      </c>
      <c r="D30" s="82" t="s">
        <v>65</v>
      </c>
      <c r="E30" s="84">
        <v>183</v>
      </c>
      <c r="F30" s="87">
        <v>1</v>
      </c>
      <c r="G30" s="87">
        <v>8485</v>
      </c>
      <c r="H30" s="87">
        <v>1</v>
      </c>
      <c r="I30" s="111">
        <v>8079</v>
      </c>
      <c r="J30" s="111">
        <v>1</v>
      </c>
      <c r="K30" s="111">
        <v>8925</v>
      </c>
      <c r="L30" s="111">
        <v>48457</v>
      </c>
      <c r="M30" s="113" t="s">
        <v>110</v>
      </c>
      <c r="N30" s="115" t="s">
        <v>133</v>
      </c>
      <c r="O30" s="110">
        <v>85</v>
      </c>
      <c r="P30" s="106"/>
      <c r="Q30" s="107"/>
    </row>
    <row r="31" spans="1:17" ht="20.100000000000001" customHeight="1">
      <c r="A31" s="90"/>
      <c r="B31" s="91"/>
      <c r="C31" s="95">
        <v>86</v>
      </c>
      <c r="D31" s="82" t="s">
        <v>66</v>
      </c>
      <c r="E31" s="84">
        <v>509</v>
      </c>
      <c r="F31" s="87">
        <v>6</v>
      </c>
      <c r="G31" s="87">
        <v>6189</v>
      </c>
      <c r="H31" s="87">
        <v>12</v>
      </c>
      <c r="I31" s="111">
        <v>5798</v>
      </c>
      <c r="J31" s="111">
        <v>4</v>
      </c>
      <c r="K31" s="111">
        <v>6212</v>
      </c>
      <c r="L31" s="111">
        <v>35364</v>
      </c>
      <c r="M31" s="113" t="s">
        <v>110</v>
      </c>
      <c r="N31" s="115" t="s">
        <v>134</v>
      </c>
      <c r="O31" s="110">
        <v>86</v>
      </c>
      <c r="P31" s="106"/>
      <c r="Q31" s="107"/>
    </row>
    <row r="32" spans="1:17" ht="10.5" customHeight="1">
      <c r="A32" s="90"/>
      <c r="B32" s="91"/>
      <c r="C32" s="95">
        <v>87</v>
      </c>
      <c r="D32" s="82" t="s">
        <v>67</v>
      </c>
      <c r="E32" s="84">
        <v>375</v>
      </c>
      <c r="F32" s="87">
        <v>61</v>
      </c>
      <c r="G32" s="87">
        <v>30217</v>
      </c>
      <c r="H32" s="87">
        <v>75</v>
      </c>
      <c r="I32" s="111">
        <v>30856</v>
      </c>
      <c r="J32" s="111">
        <v>82</v>
      </c>
      <c r="K32" s="111">
        <v>42079</v>
      </c>
      <c r="L32" s="111">
        <v>187524</v>
      </c>
      <c r="M32" s="113" t="s">
        <v>110</v>
      </c>
      <c r="N32" s="115" t="s">
        <v>135</v>
      </c>
      <c r="O32" s="110">
        <v>87</v>
      </c>
      <c r="P32" s="106"/>
      <c r="Q32" s="107"/>
    </row>
    <row r="33" spans="1:17" ht="10.5" customHeight="1">
      <c r="A33" s="90"/>
      <c r="B33" s="91"/>
      <c r="C33" s="95">
        <v>89</v>
      </c>
      <c r="D33" s="82" t="s">
        <v>68</v>
      </c>
      <c r="E33" s="84">
        <v>5997</v>
      </c>
      <c r="F33" s="87">
        <v>794</v>
      </c>
      <c r="G33" s="87">
        <v>50019</v>
      </c>
      <c r="H33" s="87">
        <v>932</v>
      </c>
      <c r="I33" s="111">
        <v>49739</v>
      </c>
      <c r="J33" s="111">
        <v>671</v>
      </c>
      <c r="K33" s="111">
        <v>55556</v>
      </c>
      <c r="L33" s="111">
        <v>296978</v>
      </c>
      <c r="M33" s="113" t="s">
        <v>110</v>
      </c>
      <c r="N33" s="115" t="s">
        <v>136</v>
      </c>
      <c r="O33" s="110">
        <v>89</v>
      </c>
      <c r="P33" s="106"/>
      <c r="Q33" s="107"/>
    </row>
    <row r="34" spans="1:17" ht="10.5" customHeight="1">
      <c r="A34" s="90"/>
      <c r="B34" s="94">
        <v>9</v>
      </c>
      <c r="C34" s="92"/>
      <c r="D34" s="82" t="s">
        <v>69</v>
      </c>
      <c r="E34" s="84">
        <v>579</v>
      </c>
      <c r="F34" s="87">
        <v>96</v>
      </c>
      <c r="G34" s="87">
        <v>12085</v>
      </c>
      <c r="H34" s="87">
        <v>97</v>
      </c>
      <c r="I34" s="111">
        <v>11368</v>
      </c>
      <c r="J34" s="111">
        <v>131</v>
      </c>
      <c r="K34" s="111">
        <v>10561</v>
      </c>
      <c r="L34" s="111">
        <v>64621</v>
      </c>
      <c r="M34" s="113" t="s">
        <v>110</v>
      </c>
      <c r="N34" s="115" t="s">
        <v>137</v>
      </c>
      <c r="O34" s="105"/>
      <c r="P34" s="109">
        <v>9</v>
      </c>
      <c r="Q34" s="107"/>
    </row>
    <row r="35" spans="1:17" ht="10.5" customHeight="1">
      <c r="A35" s="90"/>
      <c r="B35" s="91"/>
      <c r="C35" s="95">
        <v>91</v>
      </c>
      <c r="D35" s="82" t="s">
        <v>70</v>
      </c>
      <c r="E35" s="84">
        <v>274</v>
      </c>
      <c r="F35" s="87">
        <v>8</v>
      </c>
      <c r="G35" s="87">
        <v>2445</v>
      </c>
      <c r="H35" s="87">
        <v>16</v>
      </c>
      <c r="I35" s="111">
        <v>2997</v>
      </c>
      <c r="J35" s="111">
        <v>11</v>
      </c>
      <c r="K35" s="111">
        <v>2272</v>
      </c>
      <c r="L35" s="111">
        <v>14031</v>
      </c>
      <c r="M35" s="113" t="s">
        <v>110</v>
      </c>
      <c r="N35" s="115" t="s">
        <v>138</v>
      </c>
      <c r="O35" s="110">
        <v>91</v>
      </c>
      <c r="P35" s="106"/>
      <c r="Q35" s="107"/>
    </row>
    <row r="36" spans="1:17" ht="10.5" customHeight="1">
      <c r="A36" s="90"/>
      <c r="B36" s="91"/>
      <c r="C36" s="95">
        <v>92</v>
      </c>
      <c r="D36" s="82" t="s">
        <v>71</v>
      </c>
      <c r="E36" s="84">
        <v>305</v>
      </c>
      <c r="F36" s="87">
        <v>87</v>
      </c>
      <c r="G36" s="87">
        <v>9640</v>
      </c>
      <c r="H36" s="87">
        <v>81</v>
      </c>
      <c r="I36" s="111">
        <v>8370</v>
      </c>
      <c r="J36" s="111">
        <v>120</v>
      </c>
      <c r="K36" s="111">
        <v>8289</v>
      </c>
      <c r="L36" s="111">
        <v>50590</v>
      </c>
      <c r="M36" s="113" t="s">
        <v>110</v>
      </c>
      <c r="N36" s="115" t="s">
        <v>139</v>
      </c>
      <c r="O36" s="110">
        <v>92</v>
      </c>
      <c r="P36" s="106"/>
      <c r="Q36" s="107"/>
    </row>
    <row r="37" spans="1:17" ht="10.5" customHeight="1">
      <c r="A37" s="90"/>
      <c r="B37" s="94">
        <v>10</v>
      </c>
      <c r="C37" s="92"/>
      <c r="D37" s="82" t="s">
        <v>72</v>
      </c>
      <c r="E37" s="84">
        <v>8</v>
      </c>
      <c r="F37" s="89">
        <v>0</v>
      </c>
      <c r="G37" s="87">
        <v>2694</v>
      </c>
      <c r="H37" s="89">
        <v>0</v>
      </c>
      <c r="I37" s="111">
        <v>2672</v>
      </c>
      <c r="J37" s="117">
        <v>0</v>
      </c>
      <c r="K37" s="111">
        <v>3744</v>
      </c>
      <c r="L37" s="111">
        <v>17013</v>
      </c>
      <c r="M37" s="113" t="s">
        <v>110</v>
      </c>
      <c r="N37" s="115" t="s">
        <v>140</v>
      </c>
      <c r="O37" s="105"/>
      <c r="P37" s="109">
        <v>10</v>
      </c>
      <c r="Q37" s="107"/>
    </row>
    <row r="38" spans="1:17" ht="10.5" customHeight="1">
      <c r="A38" s="90"/>
      <c r="B38" s="91"/>
      <c r="C38" s="95">
        <v>100</v>
      </c>
      <c r="D38" s="82" t="s">
        <v>73</v>
      </c>
      <c r="E38" s="84">
        <v>8</v>
      </c>
      <c r="F38" s="89">
        <v>0</v>
      </c>
      <c r="G38" s="87">
        <v>2694</v>
      </c>
      <c r="H38" s="89">
        <v>0</v>
      </c>
      <c r="I38" s="111">
        <v>2672</v>
      </c>
      <c r="J38" s="117">
        <v>0</v>
      </c>
      <c r="K38" s="111">
        <v>3744</v>
      </c>
      <c r="L38" s="111">
        <v>17013</v>
      </c>
      <c r="M38" s="113" t="s">
        <v>110</v>
      </c>
      <c r="N38" s="115" t="s">
        <v>141</v>
      </c>
      <c r="O38" s="110">
        <v>100</v>
      </c>
      <c r="P38" s="106"/>
      <c r="Q38" s="107"/>
    </row>
    <row r="39" spans="1:17" ht="10.5" customHeight="1">
      <c r="A39" s="90"/>
      <c r="B39" s="94">
        <v>11</v>
      </c>
      <c r="C39" s="92"/>
      <c r="D39" s="82" t="s">
        <v>74</v>
      </c>
      <c r="E39" s="84">
        <v>4466</v>
      </c>
      <c r="F39" s="87">
        <v>9865</v>
      </c>
      <c r="G39" s="87">
        <v>51710</v>
      </c>
      <c r="H39" s="87">
        <v>14573</v>
      </c>
      <c r="I39" s="111">
        <v>48814</v>
      </c>
      <c r="J39" s="111">
        <v>8705</v>
      </c>
      <c r="K39" s="111">
        <v>91612</v>
      </c>
      <c r="L39" s="111">
        <v>393319</v>
      </c>
      <c r="M39" s="113" t="s">
        <v>110</v>
      </c>
      <c r="N39" s="115" t="s">
        <v>142</v>
      </c>
      <c r="O39" s="105"/>
      <c r="P39" s="109">
        <v>11</v>
      </c>
      <c r="Q39" s="107"/>
    </row>
    <row r="40" spans="1:17" ht="10.5" customHeight="1">
      <c r="A40" s="90"/>
      <c r="B40" s="91"/>
      <c r="C40" s="95">
        <v>111</v>
      </c>
      <c r="D40" s="82" t="s">
        <v>75</v>
      </c>
      <c r="E40" s="84">
        <v>562</v>
      </c>
      <c r="F40" s="87">
        <v>4003</v>
      </c>
      <c r="G40" s="87">
        <v>9952</v>
      </c>
      <c r="H40" s="87">
        <v>10427</v>
      </c>
      <c r="I40" s="111">
        <v>10008</v>
      </c>
      <c r="J40" s="111">
        <v>4514</v>
      </c>
      <c r="K40" s="111">
        <v>24536</v>
      </c>
      <c r="L40" s="111">
        <v>105802</v>
      </c>
      <c r="M40" s="113" t="s">
        <v>110</v>
      </c>
      <c r="N40" s="115" t="s">
        <v>143</v>
      </c>
      <c r="O40" s="110">
        <v>111</v>
      </c>
      <c r="P40" s="106"/>
      <c r="Q40" s="107"/>
    </row>
    <row r="41" spans="1:17" ht="10.5" customHeight="1">
      <c r="A41" s="90"/>
      <c r="B41" s="91"/>
      <c r="C41" s="95">
        <v>112</v>
      </c>
      <c r="D41" s="82" t="s">
        <v>76</v>
      </c>
      <c r="E41" s="84">
        <v>1522</v>
      </c>
      <c r="F41" s="87">
        <v>4219</v>
      </c>
      <c r="G41" s="87">
        <v>25403</v>
      </c>
      <c r="H41" s="87">
        <v>3036</v>
      </c>
      <c r="I41" s="111">
        <v>23123</v>
      </c>
      <c r="J41" s="111">
        <v>3086</v>
      </c>
      <c r="K41" s="111">
        <v>49802</v>
      </c>
      <c r="L41" s="111">
        <v>179906</v>
      </c>
      <c r="M41" s="113" t="s">
        <v>110</v>
      </c>
      <c r="N41" s="115" t="s">
        <v>144</v>
      </c>
      <c r="O41" s="110">
        <v>112</v>
      </c>
      <c r="P41" s="106"/>
      <c r="Q41" s="107"/>
    </row>
    <row r="42" spans="1:17" ht="10.5" customHeight="1">
      <c r="A42" s="90"/>
      <c r="B42" s="91"/>
      <c r="C42" s="95">
        <v>113</v>
      </c>
      <c r="D42" s="82" t="s">
        <v>77</v>
      </c>
      <c r="E42" s="84">
        <v>192</v>
      </c>
      <c r="F42" s="87">
        <v>376</v>
      </c>
      <c r="G42" s="87">
        <v>3980</v>
      </c>
      <c r="H42" s="87">
        <v>419</v>
      </c>
      <c r="I42" s="111">
        <v>4178</v>
      </c>
      <c r="J42" s="111">
        <v>394</v>
      </c>
      <c r="K42" s="111">
        <v>4437</v>
      </c>
      <c r="L42" s="111">
        <v>28927</v>
      </c>
      <c r="M42" s="113" t="s">
        <v>110</v>
      </c>
      <c r="N42" s="115" t="s">
        <v>145</v>
      </c>
      <c r="O42" s="110">
        <v>113</v>
      </c>
      <c r="P42" s="106"/>
      <c r="Q42" s="107"/>
    </row>
    <row r="43" spans="1:17" ht="10.5" customHeight="1">
      <c r="A43" s="90"/>
      <c r="B43" s="91"/>
      <c r="C43" s="95">
        <v>114</v>
      </c>
      <c r="D43" s="82" t="s">
        <v>78</v>
      </c>
      <c r="E43" s="84">
        <v>453</v>
      </c>
      <c r="F43" s="87">
        <v>605</v>
      </c>
      <c r="G43" s="87">
        <v>4923</v>
      </c>
      <c r="H43" s="87">
        <v>159</v>
      </c>
      <c r="I43" s="111">
        <v>4600</v>
      </c>
      <c r="J43" s="111">
        <v>199</v>
      </c>
      <c r="K43" s="111">
        <v>5094</v>
      </c>
      <c r="L43" s="111">
        <v>32446</v>
      </c>
      <c r="M43" s="113" t="s">
        <v>110</v>
      </c>
      <c r="N43" s="115" t="s">
        <v>146</v>
      </c>
      <c r="O43" s="110">
        <v>114</v>
      </c>
      <c r="P43" s="106"/>
      <c r="Q43" s="107"/>
    </row>
    <row r="44" spans="1:17" ht="10.5" customHeight="1">
      <c r="A44" s="90"/>
      <c r="B44" s="91"/>
      <c r="C44" s="95">
        <v>115</v>
      </c>
      <c r="D44" s="82" t="s">
        <v>79</v>
      </c>
      <c r="E44" s="84">
        <v>1737</v>
      </c>
      <c r="F44" s="87">
        <v>664</v>
      </c>
      <c r="G44" s="87">
        <v>7452</v>
      </c>
      <c r="H44" s="87">
        <v>532</v>
      </c>
      <c r="I44" s="111">
        <v>6904</v>
      </c>
      <c r="J44" s="111">
        <v>512</v>
      </c>
      <c r="K44" s="111">
        <v>7742</v>
      </c>
      <c r="L44" s="111">
        <v>46237</v>
      </c>
      <c r="M44" s="113" t="s">
        <v>110</v>
      </c>
      <c r="N44" s="115" t="s">
        <v>147</v>
      </c>
      <c r="O44" s="110">
        <v>115</v>
      </c>
      <c r="P44" s="106"/>
      <c r="Q44" s="107"/>
    </row>
    <row r="45" spans="1:17" ht="10.5" customHeight="1">
      <c r="A45" s="90"/>
      <c r="B45" s="94">
        <v>12</v>
      </c>
      <c r="C45" s="92"/>
      <c r="D45" s="82" t="s">
        <v>80</v>
      </c>
      <c r="E45" s="84">
        <v>3018</v>
      </c>
      <c r="F45" s="87">
        <v>982</v>
      </c>
      <c r="G45" s="87">
        <v>7266</v>
      </c>
      <c r="H45" s="87">
        <v>1020</v>
      </c>
      <c r="I45" s="111">
        <v>7498</v>
      </c>
      <c r="J45" s="111">
        <v>780</v>
      </c>
      <c r="K45" s="111">
        <v>8811</v>
      </c>
      <c r="L45" s="111">
        <v>50131</v>
      </c>
      <c r="M45" s="113" t="s">
        <v>110</v>
      </c>
      <c r="N45" s="115" t="s">
        <v>148</v>
      </c>
      <c r="O45" s="105"/>
      <c r="P45" s="109">
        <v>12</v>
      </c>
      <c r="Q45" s="107"/>
    </row>
    <row r="46" spans="1:17" ht="10.5" customHeight="1">
      <c r="A46" s="90"/>
      <c r="B46" s="91"/>
      <c r="C46" s="95">
        <v>121</v>
      </c>
      <c r="D46" s="82" t="s">
        <v>81</v>
      </c>
      <c r="E46" s="84">
        <v>2050</v>
      </c>
      <c r="F46" s="87">
        <v>400</v>
      </c>
      <c r="G46" s="87">
        <v>4653</v>
      </c>
      <c r="H46" s="87">
        <v>700</v>
      </c>
      <c r="I46" s="111">
        <v>5216</v>
      </c>
      <c r="J46" s="111">
        <v>484</v>
      </c>
      <c r="K46" s="111">
        <v>5470</v>
      </c>
      <c r="L46" s="111">
        <v>32084</v>
      </c>
      <c r="M46" s="113" t="s">
        <v>110</v>
      </c>
      <c r="N46" s="115" t="s">
        <v>149</v>
      </c>
      <c r="O46" s="110">
        <v>121</v>
      </c>
      <c r="P46" s="106"/>
      <c r="Q46" s="107"/>
    </row>
    <row r="47" spans="1:17" ht="10.5" customHeight="1">
      <c r="A47" s="90"/>
      <c r="B47" s="91"/>
      <c r="C47" s="95">
        <v>123</v>
      </c>
      <c r="D47" s="82" t="s">
        <v>82</v>
      </c>
      <c r="E47" s="84">
        <v>968</v>
      </c>
      <c r="F47" s="87">
        <v>582</v>
      </c>
      <c r="G47" s="87">
        <v>2613</v>
      </c>
      <c r="H47" s="87">
        <v>321</v>
      </c>
      <c r="I47" s="111">
        <v>2283</v>
      </c>
      <c r="J47" s="111">
        <v>296</v>
      </c>
      <c r="K47" s="111">
        <v>3341</v>
      </c>
      <c r="L47" s="111">
        <v>18047</v>
      </c>
      <c r="M47" s="113" t="s">
        <v>110</v>
      </c>
      <c r="N47" s="115" t="s">
        <v>150</v>
      </c>
      <c r="O47" s="110">
        <v>123</v>
      </c>
      <c r="P47" s="106"/>
      <c r="Q47" s="107"/>
    </row>
    <row r="48" spans="1:17" ht="10.5" customHeight="1">
      <c r="A48" s="90"/>
      <c r="B48" s="94">
        <v>13</v>
      </c>
      <c r="C48" s="92"/>
      <c r="D48" s="82" t="s">
        <v>83</v>
      </c>
      <c r="E48" s="84">
        <v>1034</v>
      </c>
      <c r="F48" s="87">
        <v>1526</v>
      </c>
      <c r="G48" s="87">
        <v>5142</v>
      </c>
      <c r="H48" s="87">
        <v>1708</v>
      </c>
      <c r="I48" s="111">
        <v>4696</v>
      </c>
      <c r="J48" s="111">
        <v>1557</v>
      </c>
      <c r="K48" s="111">
        <v>16868</v>
      </c>
      <c r="L48" s="111">
        <v>50291</v>
      </c>
      <c r="M48" s="113" t="s">
        <v>110</v>
      </c>
      <c r="N48" s="115" t="s">
        <v>151</v>
      </c>
      <c r="O48" s="105"/>
      <c r="P48" s="109">
        <v>13</v>
      </c>
      <c r="Q48" s="107"/>
    </row>
    <row r="49" spans="1:17" ht="10.5" customHeight="1">
      <c r="A49" s="90"/>
      <c r="B49" s="91"/>
      <c r="C49" s="95">
        <v>130</v>
      </c>
      <c r="D49" s="82" t="s">
        <v>84</v>
      </c>
      <c r="E49" s="84">
        <v>1034</v>
      </c>
      <c r="F49" s="87">
        <v>1526</v>
      </c>
      <c r="G49" s="87">
        <v>5142</v>
      </c>
      <c r="H49" s="87">
        <v>1708</v>
      </c>
      <c r="I49" s="111">
        <v>4696</v>
      </c>
      <c r="J49" s="111">
        <v>1557</v>
      </c>
      <c r="K49" s="111">
        <v>16868</v>
      </c>
      <c r="L49" s="111">
        <v>50291</v>
      </c>
      <c r="M49" s="113" t="s">
        <v>110</v>
      </c>
      <c r="N49" s="115" t="s">
        <v>152</v>
      </c>
      <c r="O49" s="110">
        <v>130</v>
      </c>
      <c r="P49" s="106"/>
      <c r="Q49" s="107"/>
    </row>
    <row r="50" spans="1:17" ht="10.5" customHeight="1">
      <c r="A50" s="90"/>
      <c r="B50" s="94">
        <v>14</v>
      </c>
      <c r="C50" s="92"/>
      <c r="D50" s="82" t="s">
        <v>85</v>
      </c>
      <c r="E50" s="84">
        <v>2693</v>
      </c>
      <c r="F50" s="87">
        <v>125</v>
      </c>
      <c r="G50" s="87">
        <v>9775</v>
      </c>
      <c r="H50" s="87">
        <v>94</v>
      </c>
      <c r="I50" s="111">
        <v>8886</v>
      </c>
      <c r="J50" s="111">
        <v>105</v>
      </c>
      <c r="K50" s="111">
        <v>10212</v>
      </c>
      <c r="L50" s="111">
        <v>56130</v>
      </c>
      <c r="M50" s="113" t="s">
        <v>110</v>
      </c>
      <c r="N50" s="115" t="s">
        <v>153</v>
      </c>
      <c r="O50" s="105"/>
      <c r="P50" s="109">
        <v>14</v>
      </c>
      <c r="Q50" s="107"/>
    </row>
    <row r="51" spans="1:17" ht="10.5" customHeight="1">
      <c r="A51" s="90"/>
      <c r="B51" s="91"/>
      <c r="C51" s="95">
        <v>140</v>
      </c>
      <c r="D51" s="82" t="s">
        <v>86</v>
      </c>
      <c r="E51" s="84">
        <v>2693</v>
      </c>
      <c r="F51" s="87">
        <v>125</v>
      </c>
      <c r="G51" s="87">
        <v>9775</v>
      </c>
      <c r="H51" s="87">
        <v>94</v>
      </c>
      <c r="I51" s="111">
        <v>8886</v>
      </c>
      <c r="J51" s="111">
        <v>105</v>
      </c>
      <c r="K51" s="111">
        <v>10212</v>
      </c>
      <c r="L51" s="111">
        <v>56130</v>
      </c>
      <c r="M51" s="113" t="s">
        <v>110</v>
      </c>
      <c r="N51" s="115" t="s">
        <v>154</v>
      </c>
      <c r="O51" s="110">
        <v>140</v>
      </c>
      <c r="P51" s="106"/>
      <c r="Q51" s="107"/>
    </row>
    <row r="52" spans="1:17" ht="10.5" customHeight="1">
      <c r="A52" s="90"/>
      <c r="B52" s="94">
        <v>15</v>
      </c>
      <c r="C52" s="92"/>
      <c r="D52" s="82" t="s">
        <v>87</v>
      </c>
      <c r="E52" s="84">
        <v>2872</v>
      </c>
      <c r="F52" s="87">
        <v>592</v>
      </c>
      <c r="G52" s="87">
        <v>33927</v>
      </c>
      <c r="H52" s="87">
        <v>621</v>
      </c>
      <c r="I52" s="111">
        <v>32973</v>
      </c>
      <c r="J52" s="111">
        <v>604</v>
      </c>
      <c r="K52" s="111">
        <v>35902</v>
      </c>
      <c r="L52" s="111">
        <v>204316</v>
      </c>
      <c r="M52" s="113" t="s">
        <v>110</v>
      </c>
      <c r="N52" s="115" t="s">
        <v>155</v>
      </c>
      <c r="O52" s="105"/>
      <c r="P52" s="109">
        <v>15</v>
      </c>
      <c r="Q52" s="107"/>
    </row>
    <row r="53" spans="1:17" ht="10.5" customHeight="1">
      <c r="A53" s="90"/>
      <c r="B53" s="91"/>
      <c r="C53" s="95">
        <v>151</v>
      </c>
      <c r="D53" s="82" t="s">
        <v>88</v>
      </c>
      <c r="E53" s="84">
        <v>301</v>
      </c>
      <c r="F53" s="87">
        <v>318</v>
      </c>
      <c r="G53" s="87">
        <v>11017</v>
      </c>
      <c r="H53" s="87">
        <v>337</v>
      </c>
      <c r="I53" s="111">
        <v>10827</v>
      </c>
      <c r="J53" s="111">
        <v>371</v>
      </c>
      <c r="K53" s="111">
        <v>12124</v>
      </c>
      <c r="L53" s="111">
        <v>68698</v>
      </c>
      <c r="M53" s="113" t="s">
        <v>110</v>
      </c>
      <c r="N53" s="115" t="s">
        <v>156</v>
      </c>
      <c r="O53" s="110">
        <v>151</v>
      </c>
      <c r="P53" s="106"/>
      <c r="Q53" s="107"/>
    </row>
    <row r="54" spans="1:17" ht="10.5" customHeight="1">
      <c r="A54" s="90"/>
      <c r="B54" s="91"/>
      <c r="C54" s="95">
        <v>152</v>
      </c>
      <c r="D54" s="82" t="s">
        <v>89</v>
      </c>
      <c r="E54" s="84">
        <v>1947</v>
      </c>
      <c r="F54" s="87">
        <v>190</v>
      </c>
      <c r="G54" s="87">
        <v>16967</v>
      </c>
      <c r="H54" s="87">
        <v>114</v>
      </c>
      <c r="I54" s="111">
        <v>16157</v>
      </c>
      <c r="J54" s="111">
        <v>122</v>
      </c>
      <c r="K54" s="111">
        <v>17597</v>
      </c>
      <c r="L54" s="111">
        <v>100180</v>
      </c>
      <c r="M54" s="113" t="s">
        <v>110</v>
      </c>
      <c r="N54" s="115" t="s">
        <v>157</v>
      </c>
      <c r="O54" s="110">
        <v>152</v>
      </c>
      <c r="P54" s="106"/>
      <c r="Q54" s="107"/>
    </row>
    <row r="55" spans="1:17" ht="10.5" customHeight="1">
      <c r="A55" s="90"/>
      <c r="B55" s="91"/>
      <c r="C55" s="95">
        <v>159</v>
      </c>
      <c r="D55" s="82" t="s">
        <v>90</v>
      </c>
      <c r="E55" s="84">
        <v>624</v>
      </c>
      <c r="F55" s="87">
        <v>83</v>
      </c>
      <c r="G55" s="87">
        <v>5943</v>
      </c>
      <c r="H55" s="87">
        <v>170</v>
      </c>
      <c r="I55" s="111">
        <v>5988</v>
      </c>
      <c r="J55" s="111">
        <v>111</v>
      </c>
      <c r="K55" s="111">
        <v>6181</v>
      </c>
      <c r="L55" s="111">
        <v>35438</v>
      </c>
      <c r="M55" s="113" t="s">
        <v>110</v>
      </c>
      <c r="N55" s="115" t="s">
        <v>158</v>
      </c>
      <c r="O55" s="110">
        <v>159</v>
      </c>
      <c r="P55" s="106"/>
      <c r="Q55" s="107"/>
    </row>
    <row r="56" spans="1:17" ht="10.5" customHeight="1">
      <c r="A56" s="90"/>
      <c r="B56" s="94">
        <v>16</v>
      </c>
      <c r="C56" s="92"/>
      <c r="D56" s="82" t="s">
        <v>91</v>
      </c>
      <c r="E56" s="84">
        <v>8034</v>
      </c>
      <c r="F56" s="87">
        <v>6471</v>
      </c>
      <c r="G56" s="87">
        <v>24752</v>
      </c>
      <c r="H56" s="87">
        <v>6113</v>
      </c>
      <c r="I56" s="111">
        <v>24100</v>
      </c>
      <c r="J56" s="111">
        <v>5970</v>
      </c>
      <c r="K56" s="111">
        <v>28199</v>
      </c>
      <c r="L56" s="111">
        <v>181564</v>
      </c>
      <c r="M56" s="113" t="s">
        <v>110</v>
      </c>
      <c r="N56" s="115" t="s">
        <v>159</v>
      </c>
      <c r="O56" s="105"/>
      <c r="P56" s="109">
        <v>16</v>
      </c>
      <c r="Q56" s="107"/>
    </row>
    <row r="57" spans="1:17" ht="10.5" customHeight="1">
      <c r="A57" s="90"/>
      <c r="B57" s="91"/>
      <c r="C57" s="95">
        <v>160</v>
      </c>
      <c r="D57" s="82" t="s">
        <v>92</v>
      </c>
      <c r="E57" s="84">
        <v>8034</v>
      </c>
      <c r="F57" s="87">
        <v>6471</v>
      </c>
      <c r="G57" s="87">
        <v>24752</v>
      </c>
      <c r="H57" s="87">
        <v>6113</v>
      </c>
      <c r="I57" s="111">
        <v>24100</v>
      </c>
      <c r="J57" s="111">
        <v>5970</v>
      </c>
      <c r="K57" s="111">
        <v>28199</v>
      </c>
      <c r="L57" s="111">
        <v>181564</v>
      </c>
      <c r="M57" s="113" t="s">
        <v>110</v>
      </c>
      <c r="N57" s="115" t="s">
        <v>160</v>
      </c>
      <c r="O57" s="110">
        <v>160</v>
      </c>
      <c r="P57" s="106"/>
      <c r="Q57" s="107"/>
    </row>
    <row r="58" spans="1:17" ht="5.0999999999999996" customHeight="1" thickBot="1">
      <c r="A58" s="23"/>
      <c r="B58" s="25"/>
      <c r="C58" s="25"/>
      <c r="D58" s="13"/>
      <c r="E58" s="17"/>
      <c r="F58" s="9"/>
      <c r="G58" s="9"/>
      <c r="H58" s="15"/>
      <c r="I58" s="13"/>
      <c r="J58" s="11"/>
      <c r="K58" s="11"/>
      <c r="L58" s="11"/>
      <c r="M58" s="37"/>
      <c r="N58" s="39"/>
      <c r="O58" s="9"/>
      <c r="P58" s="9"/>
      <c r="Q58" s="7"/>
    </row>
    <row r="59" spans="1:17" s="2" customFormat="1" ht="21.95" customHeight="1">
      <c r="A59" s="64" t="str">
        <f>SUBSTITUTE(A62&amp;B62,CHAR(10),CHAR(10)&amp;"　　　　　")</f>
        <v>說　　明： 本表資料分類自112年1月起改採「中華民國稅務行業標準分類(第9次修訂)」，由於適用版本不同，112年銷售
　　　　　額增減率尚無法計算，故不予陳示。</v>
      </c>
      <c r="B59" s="64"/>
      <c r="C59" s="64"/>
      <c r="D59" s="64"/>
      <c r="E59" s="65"/>
      <c r="F59" s="65"/>
      <c r="G59" s="65"/>
      <c r="H59" s="65"/>
      <c r="I59" s="66" t="str">
        <f>SUBSTITUTE(I62&amp;J62,CHAR(10),CHAR(10)&amp;"　　　　　　")</f>
        <v>Explanation：Since Jan. 2023, the figures are reclassified according to the ninth revision of Standard Industrial Classification on Taxation 
　　　　　　of the Republic of China, thus, the growth rate of sales in 2023 couldn't be to calculated.</v>
      </c>
      <c r="J59" s="66"/>
      <c r="K59" s="66"/>
      <c r="L59" s="66"/>
      <c r="M59" s="66"/>
      <c r="N59" s="66"/>
      <c r="O59" s="66"/>
      <c r="P59" s="66"/>
      <c r="Q59" s="66"/>
    </row>
    <row r="60" spans="1:17" s="2" customFormat="1" ht="14.1" customHeight="1">
      <c r="A60" s="44" t="str">
        <f>A63&amp;B63</f>
        <v>附　　註：(D)表示不陳示數值以保護個別資料。</v>
      </c>
      <c r="B60" s="44"/>
      <c r="C60" s="44"/>
      <c r="D60" s="44"/>
      <c r="E60" s="45"/>
      <c r="F60" s="45"/>
      <c r="G60" s="45"/>
      <c r="H60" s="45"/>
      <c r="I60" s="46" t="str">
        <f>SUBSTITUTE(I63&amp;J63,CHAR(10),CHAR(10)&amp;"　　　　　　")</f>
        <v>Note：(D)The figures are replaced with asterisks due to a concern of privacy.</v>
      </c>
      <c r="J60" s="46"/>
      <c r="K60" s="46"/>
      <c r="L60" s="46"/>
      <c r="M60" s="46"/>
      <c r="N60" s="46"/>
      <c r="O60" s="46"/>
      <c r="P60" s="46"/>
      <c r="Q60" s="46"/>
    </row>
    <row r="61" spans="1:17" s="2" customFormat="1" ht="21.95" hidden="1" customHeight="1">
      <c r="A61" s="44" t="str">
        <f>A64&amp;B64</f>
        <v/>
      </c>
      <c r="B61" s="44"/>
      <c r="C61" s="44"/>
      <c r="D61" s="44"/>
      <c r="E61" s="45"/>
      <c r="F61" s="45"/>
      <c r="G61" s="45"/>
      <c r="H61" s="45"/>
      <c r="I61" s="46" t="str">
        <f>SUBSTITUTE(I64&amp;J64,CHAR(10),CHAR(10)&amp;"　　　　　　　　　  ")</f>
        <v/>
      </c>
      <c r="J61" s="46"/>
      <c r="K61" s="46"/>
      <c r="L61" s="46"/>
      <c r="M61" s="46"/>
      <c r="N61" s="46"/>
      <c r="O61" s="46"/>
      <c r="P61" s="46"/>
      <c r="Q61" s="46"/>
    </row>
    <row r="62" spans="1:17" ht="369" hidden="1">
      <c r="A62" s="80" t="s">
        <v>104</v>
      </c>
      <c r="B62" s="81" t="s">
        <v>43</v>
      </c>
      <c r="I62" s="103" t="s">
        <v>166</v>
      </c>
      <c r="J62" s="104" t="s">
        <v>109</v>
      </c>
    </row>
    <row r="63" spans="1:17" hidden="1">
      <c r="A63" s="80" t="s">
        <v>103</v>
      </c>
      <c r="B63" s="80" t="s">
        <v>42</v>
      </c>
      <c r="I63" s="103" t="s">
        <v>165</v>
      </c>
      <c r="J63" s="103" t="s">
        <v>108</v>
      </c>
    </row>
    <row r="64" spans="1:17" hidden="1">
      <c r="A64" s="34"/>
      <c r="I64" s="34"/>
    </row>
    <row r="65" ht="15" customHeight="1"/>
  </sheetData>
  <mergeCells count="18">
    <mergeCell ref="B3:B6"/>
    <mergeCell ref="C3:C6"/>
    <mergeCell ref="A59:H59"/>
    <mergeCell ref="I59:Q59"/>
    <mergeCell ref="D3:D6"/>
    <mergeCell ref="P3:P6"/>
    <mergeCell ref="O3:O6"/>
    <mergeCell ref="N3:N6"/>
    <mergeCell ref="A61:H61"/>
    <mergeCell ref="I61:Q61"/>
    <mergeCell ref="I60:Q60"/>
    <mergeCell ref="A60:H60"/>
    <mergeCell ref="I1:Q1"/>
    <mergeCell ref="A1:H1"/>
    <mergeCell ref="Q3:Q6"/>
    <mergeCell ref="F3:H3"/>
    <mergeCell ref="I3:M3"/>
    <mergeCell ref="A3:A6"/>
  </mergeCells>
  <phoneticPr fontId="2" type="noConversion"/>
  <printOptions horizontalCentered="1"/>
  <pageMargins left="0.78740157480314965" right="0.78740157480314965" top="0.59055118110236227" bottom="1.1811023622047245" header="0.39370078740157483" footer="1.1811023622047245"/>
  <pageSetup paperSize="9" firstPageNumber="92" orientation="portrait" useFirstPageNumber="1" horizontalDpi="4294967292" r:id="rId1"/>
  <headerFooter alignWithMargins="0">
    <oddFooter>&amp;C&amp;10  - &amp;P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1"/>
  <sheetViews>
    <sheetView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221</v>
      </c>
      <c r="B1" s="48"/>
      <c r="C1" s="48"/>
      <c r="D1" s="48"/>
      <c r="E1" s="48"/>
      <c r="F1" s="48"/>
      <c r="G1" s="48"/>
      <c r="H1" s="48"/>
      <c r="I1" s="47" t="s">
        <v>273</v>
      </c>
      <c r="J1" s="47"/>
      <c r="K1" s="47"/>
      <c r="L1" s="47"/>
      <c r="M1" s="47"/>
      <c r="N1" s="47"/>
      <c r="O1" s="47"/>
      <c r="P1" s="47"/>
      <c r="Q1" s="47"/>
    </row>
    <row r="2" spans="1:17" ht="15" customHeight="1" thickBot="1">
      <c r="A2" s="16"/>
      <c r="B2" s="16"/>
      <c r="C2" s="16"/>
      <c r="D2" s="16"/>
      <c r="E2" s="1"/>
      <c r="F2" s="18"/>
      <c r="G2" s="18"/>
      <c r="H2" s="19" t="s">
        <v>38</v>
      </c>
      <c r="J2" s="1"/>
      <c r="K2" s="1"/>
      <c r="L2" s="1"/>
      <c r="M2" s="1"/>
      <c r="N2" s="26"/>
      <c r="O2" s="26"/>
      <c r="P2" s="26"/>
      <c r="Q2" s="35" t="s">
        <v>17</v>
      </c>
    </row>
    <row r="3" spans="1:17" ht="12" customHeight="1">
      <c r="A3" s="58" t="s">
        <v>35</v>
      </c>
      <c r="B3" s="61" t="s">
        <v>36</v>
      </c>
      <c r="C3" s="61" t="s">
        <v>1</v>
      </c>
      <c r="D3" s="67" t="s">
        <v>9</v>
      </c>
      <c r="E3" s="21" t="s">
        <v>10</v>
      </c>
      <c r="F3" s="53" t="s">
        <v>11</v>
      </c>
      <c r="G3" s="54"/>
      <c r="H3" s="55"/>
      <c r="I3" s="78" t="s">
        <v>12</v>
      </c>
      <c r="J3" s="78"/>
      <c r="K3" s="78"/>
      <c r="L3" s="78"/>
      <c r="M3" s="79"/>
      <c r="N3" s="75" t="s">
        <v>13</v>
      </c>
      <c r="O3" s="74" t="s">
        <v>14</v>
      </c>
      <c r="P3" s="70" t="s">
        <v>15</v>
      </c>
      <c r="Q3" s="49" t="s">
        <v>16</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0.5" customHeight="1">
      <c r="A8" s="90"/>
      <c r="B8" s="94">
        <v>17</v>
      </c>
      <c r="C8" s="92"/>
      <c r="D8" s="82" t="s">
        <v>220</v>
      </c>
      <c r="E8" s="84">
        <v>193</v>
      </c>
      <c r="F8" s="87">
        <v>53233</v>
      </c>
      <c r="G8" s="87">
        <v>91956</v>
      </c>
      <c r="H8" s="87">
        <v>69099</v>
      </c>
      <c r="I8" s="111">
        <v>78868</v>
      </c>
      <c r="J8" s="111">
        <v>56688</v>
      </c>
      <c r="K8" s="111">
        <v>102455</v>
      </c>
      <c r="L8" s="111">
        <v>871692</v>
      </c>
      <c r="M8" s="113" t="s">
        <v>110</v>
      </c>
      <c r="N8" s="115" t="s">
        <v>222</v>
      </c>
      <c r="O8" s="105"/>
      <c r="P8" s="109">
        <v>17</v>
      </c>
      <c r="Q8" s="107"/>
    </row>
    <row r="9" spans="1:17" ht="10.5" customHeight="1">
      <c r="A9" s="90"/>
      <c r="B9" s="94"/>
      <c r="C9" s="95">
        <v>170</v>
      </c>
      <c r="D9" s="82" t="s">
        <v>170</v>
      </c>
      <c r="E9" s="84">
        <v>193</v>
      </c>
      <c r="F9" s="87">
        <v>53233</v>
      </c>
      <c r="G9" s="87">
        <v>91956</v>
      </c>
      <c r="H9" s="87">
        <v>69099</v>
      </c>
      <c r="I9" s="111">
        <v>78868</v>
      </c>
      <c r="J9" s="111">
        <v>56688</v>
      </c>
      <c r="K9" s="111">
        <v>102455</v>
      </c>
      <c r="L9" s="111">
        <v>871692</v>
      </c>
      <c r="M9" s="113" t="s">
        <v>110</v>
      </c>
      <c r="N9" s="115" t="s">
        <v>223</v>
      </c>
      <c r="O9" s="110">
        <v>170</v>
      </c>
      <c r="P9" s="109"/>
      <c r="Q9" s="107"/>
    </row>
    <row r="10" spans="1:17" ht="10.5" customHeight="1">
      <c r="A10" s="90"/>
      <c r="B10" s="94">
        <v>18</v>
      </c>
      <c r="C10" s="92"/>
      <c r="D10" s="82" t="s">
        <v>171</v>
      </c>
      <c r="E10" s="84">
        <v>1571</v>
      </c>
      <c r="F10" s="87">
        <v>40751</v>
      </c>
      <c r="G10" s="87">
        <v>130152</v>
      </c>
      <c r="H10" s="87">
        <v>44146</v>
      </c>
      <c r="I10" s="111">
        <v>138049</v>
      </c>
      <c r="J10" s="111">
        <v>44121</v>
      </c>
      <c r="K10" s="111">
        <v>160325</v>
      </c>
      <c r="L10" s="111">
        <v>1072940</v>
      </c>
      <c r="M10" s="113" t="s">
        <v>110</v>
      </c>
      <c r="N10" s="115" t="s">
        <v>224</v>
      </c>
      <c r="O10" s="105"/>
      <c r="P10" s="109">
        <v>18</v>
      </c>
      <c r="Q10" s="107"/>
    </row>
    <row r="11" spans="1:17" ht="10.5" customHeight="1">
      <c r="A11" s="90"/>
      <c r="B11" s="94"/>
      <c r="C11" s="95">
        <v>181</v>
      </c>
      <c r="D11" s="82" t="s">
        <v>172</v>
      </c>
      <c r="E11" s="84">
        <v>698</v>
      </c>
      <c r="F11" s="87">
        <v>25486</v>
      </c>
      <c r="G11" s="87">
        <v>88944</v>
      </c>
      <c r="H11" s="87">
        <v>29278</v>
      </c>
      <c r="I11" s="111">
        <v>97888</v>
      </c>
      <c r="J11" s="111">
        <v>29417</v>
      </c>
      <c r="K11" s="111">
        <v>104555</v>
      </c>
      <c r="L11" s="111">
        <v>728034</v>
      </c>
      <c r="M11" s="113" t="s">
        <v>110</v>
      </c>
      <c r="N11" s="115" t="s">
        <v>225</v>
      </c>
      <c r="O11" s="110">
        <v>181</v>
      </c>
      <c r="P11" s="109"/>
      <c r="Q11" s="107"/>
    </row>
    <row r="12" spans="1:17" ht="10.5" customHeight="1">
      <c r="A12" s="90"/>
      <c r="B12" s="94"/>
      <c r="C12" s="95">
        <v>183</v>
      </c>
      <c r="D12" s="82" t="s">
        <v>173</v>
      </c>
      <c r="E12" s="84">
        <v>216</v>
      </c>
      <c r="F12" s="87">
        <v>30</v>
      </c>
      <c r="G12" s="87">
        <v>1453</v>
      </c>
      <c r="H12" s="87">
        <v>1</v>
      </c>
      <c r="I12" s="111">
        <v>1525</v>
      </c>
      <c r="J12" s="111">
        <v>5</v>
      </c>
      <c r="K12" s="111">
        <v>1643</v>
      </c>
      <c r="L12" s="111">
        <v>9246</v>
      </c>
      <c r="M12" s="113" t="s">
        <v>110</v>
      </c>
      <c r="N12" s="115" t="s">
        <v>226</v>
      </c>
      <c r="O12" s="110">
        <v>183</v>
      </c>
      <c r="P12" s="109"/>
      <c r="Q12" s="107"/>
    </row>
    <row r="13" spans="1:17" ht="10.5" customHeight="1">
      <c r="A13" s="90"/>
      <c r="B13" s="94"/>
      <c r="C13" s="95">
        <v>184</v>
      </c>
      <c r="D13" s="82" t="s">
        <v>174</v>
      </c>
      <c r="E13" s="84">
        <v>600</v>
      </c>
      <c r="F13" s="87">
        <v>13706</v>
      </c>
      <c r="G13" s="87">
        <v>37576</v>
      </c>
      <c r="H13" s="87">
        <v>13255</v>
      </c>
      <c r="I13" s="111">
        <v>36341</v>
      </c>
      <c r="J13" s="111">
        <v>13420</v>
      </c>
      <c r="K13" s="111">
        <v>51400</v>
      </c>
      <c r="L13" s="111">
        <v>312510</v>
      </c>
      <c r="M13" s="113" t="s">
        <v>110</v>
      </c>
      <c r="N13" s="115" t="s">
        <v>227</v>
      </c>
      <c r="O13" s="110">
        <v>184</v>
      </c>
      <c r="P13" s="109"/>
      <c r="Q13" s="107"/>
    </row>
    <row r="14" spans="1:17" ht="10.5" customHeight="1">
      <c r="A14" s="90"/>
      <c r="B14" s="94"/>
      <c r="C14" s="95">
        <v>185</v>
      </c>
      <c r="D14" s="82" t="s">
        <v>175</v>
      </c>
      <c r="E14" s="84">
        <v>57</v>
      </c>
      <c r="F14" s="87">
        <v>1529</v>
      </c>
      <c r="G14" s="87">
        <v>2180</v>
      </c>
      <c r="H14" s="87">
        <v>1613</v>
      </c>
      <c r="I14" s="111">
        <v>2295</v>
      </c>
      <c r="J14" s="111">
        <v>1280</v>
      </c>
      <c r="K14" s="111">
        <v>2726</v>
      </c>
      <c r="L14" s="111">
        <v>23150</v>
      </c>
      <c r="M14" s="113" t="s">
        <v>110</v>
      </c>
      <c r="N14" s="115" t="s">
        <v>228</v>
      </c>
      <c r="O14" s="110">
        <v>185</v>
      </c>
      <c r="P14" s="109"/>
      <c r="Q14" s="107"/>
    </row>
    <row r="15" spans="1:17" ht="10.5" customHeight="1">
      <c r="A15" s="90"/>
      <c r="B15" s="94">
        <v>19</v>
      </c>
      <c r="C15" s="92"/>
      <c r="D15" s="82" t="s">
        <v>176</v>
      </c>
      <c r="E15" s="84">
        <v>2565</v>
      </c>
      <c r="F15" s="87">
        <v>2015</v>
      </c>
      <c r="G15" s="87">
        <v>47602</v>
      </c>
      <c r="H15" s="87">
        <v>2317</v>
      </c>
      <c r="I15" s="111">
        <v>48034</v>
      </c>
      <c r="J15" s="111">
        <v>2279</v>
      </c>
      <c r="K15" s="111">
        <v>52956</v>
      </c>
      <c r="L15" s="111">
        <v>297804</v>
      </c>
      <c r="M15" s="113" t="s">
        <v>110</v>
      </c>
      <c r="N15" s="115" t="s">
        <v>229</v>
      </c>
      <c r="O15" s="105"/>
      <c r="P15" s="109">
        <v>19</v>
      </c>
      <c r="Q15" s="107"/>
    </row>
    <row r="16" spans="1:17" ht="10.5" customHeight="1">
      <c r="A16" s="90"/>
      <c r="B16" s="94"/>
      <c r="C16" s="95">
        <v>191</v>
      </c>
      <c r="D16" s="82" t="s">
        <v>177</v>
      </c>
      <c r="E16" s="84">
        <v>80</v>
      </c>
      <c r="F16" s="87">
        <v>246</v>
      </c>
      <c r="G16" s="87">
        <v>3060</v>
      </c>
      <c r="H16" s="87">
        <v>343</v>
      </c>
      <c r="I16" s="111">
        <v>2279</v>
      </c>
      <c r="J16" s="111">
        <v>279</v>
      </c>
      <c r="K16" s="111">
        <v>2514</v>
      </c>
      <c r="L16" s="111">
        <v>17783</v>
      </c>
      <c r="M16" s="113" t="s">
        <v>110</v>
      </c>
      <c r="N16" s="115" t="s">
        <v>230</v>
      </c>
      <c r="O16" s="110">
        <v>191</v>
      </c>
      <c r="P16" s="109"/>
      <c r="Q16" s="107"/>
    </row>
    <row r="17" spans="1:17" ht="10.5" customHeight="1">
      <c r="A17" s="90"/>
      <c r="B17" s="94"/>
      <c r="C17" s="95">
        <v>192</v>
      </c>
      <c r="D17" s="82" t="s">
        <v>178</v>
      </c>
      <c r="E17" s="84">
        <v>483</v>
      </c>
      <c r="F17" s="87">
        <v>821</v>
      </c>
      <c r="G17" s="87">
        <v>8037</v>
      </c>
      <c r="H17" s="87">
        <v>871</v>
      </c>
      <c r="I17" s="111">
        <v>8228</v>
      </c>
      <c r="J17" s="111">
        <v>908</v>
      </c>
      <c r="K17" s="111">
        <v>8869</v>
      </c>
      <c r="L17" s="111">
        <v>53373</v>
      </c>
      <c r="M17" s="113" t="s">
        <v>110</v>
      </c>
      <c r="N17" s="115" t="s">
        <v>231</v>
      </c>
      <c r="O17" s="110">
        <v>192</v>
      </c>
      <c r="P17" s="109"/>
      <c r="Q17" s="107"/>
    </row>
    <row r="18" spans="1:17" ht="10.5" customHeight="1">
      <c r="A18" s="90"/>
      <c r="B18" s="94"/>
      <c r="C18" s="95">
        <v>193</v>
      </c>
      <c r="D18" s="82" t="s">
        <v>179</v>
      </c>
      <c r="E18" s="84">
        <v>1320</v>
      </c>
      <c r="F18" s="87">
        <v>112</v>
      </c>
      <c r="G18" s="87">
        <v>7921</v>
      </c>
      <c r="H18" s="87">
        <v>175</v>
      </c>
      <c r="I18" s="111">
        <v>7905</v>
      </c>
      <c r="J18" s="111">
        <v>146</v>
      </c>
      <c r="K18" s="111">
        <v>8845</v>
      </c>
      <c r="L18" s="111">
        <v>48963</v>
      </c>
      <c r="M18" s="113" t="s">
        <v>110</v>
      </c>
      <c r="N18" s="115" t="s">
        <v>232</v>
      </c>
      <c r="O18" s="110">
        <v>193</v>
      </c>
      <c r="P18" s="109"/>
      <c r="Q18" s="107"/>
    </row>
    <row r="19" spans="1:17" ht="10.5" customHeight="1">
      <c r="A19" s="90"/>
      <c r="B19" s="94"/>
      <c r="C19" s="95">
        <v>199</v>
      </c>
      <c r="D19" s="82" t="s">
        <v>180</v>
      </c>
      <c r="E19" s="84">
        <v>682</v>
      </c>
      <c r="F19" s="87">
        <v>835</v>
      </c>
      <c r="G19" s="87">
        <v>28584</v>
      </c>
      <c r="H19" s="87">
        <v>928</v>
      </c>
      <c r="I19" s="111">
        <v>29622</v>
      </c>
      <c r="J19" s="111">
        <v>946</v>
      </c>
      <c r="K19" s="111">
        <v>32728</v>
      </c>
      <c r="L19" s="111">
        <v>177686</v>
      </c>
      <c r="M19" s="113" t="s">
        <v>110</v>
      </c>
      <c r="N19" s="115" t="s">
        <v>233</v>
      </c>
      <c r="O19" s="110">
        <v>199</v>
      </c>
      <c r="P19" s="109"/>
      <c r="Q19" s="107"/>
    </row>
    <row r="20" spans="1:17" ht="10.5" customHeight="1">
      <c r="A20" s="90"/>
      <c r="B20" s="94">
        <v>20</v>
      </c>
      <c r="C20" s="92"/>
      <c r="D20" s="82" t="s">
        <v>181</v>
      </c>
      <c r="E20" s="84">
        <v>400</v>
      </c>
      <c r="F20" s="87">
        <v>242</v>
      </c>
      <c r="G20" s="87">
        <v>23176</v>
      </c>
      <c r="H20" s="87">
        <v>378</v>
      </c>
      <c r="I20" s="111">
        <v>21800</v>
      </c>
      <c r="J20" s="111">
        <v>304</v>
      </c>
      <c r="K20" s="111">
        <v>28882</v>
      </c>
      <c r="L20" s="111">
        <v>148243</v>
      </c>
      <c r="M20" s="113" t="s">
        <v>110</v>
      </c>
      <c r="N20" s="115" t="s">
        <v>234</v>
      </c>
      <c r="O20" s="105"/>
      <c r="P20" s="109">
        <v>20</v>
      </c>
      <c r="Q20" s="107"/>
    </row>
    <row r="21" spans="1:17" ht="20.100000000000001" customHeight="1">
      <c r="A21" s="90"/>
      <c r="B21" s="94"/>
      <c r="C21" s="95">
        <v>200</v>
      </c>
      <c r="D21" s="82" t="s">
        <v>182</v>
      </c>
      <c r="E21" s="84">
        <v>400</v>
      </c>
      <c r="F21" s="87">
        <v>242</v>
      </c>
      <c r="G21" s="87">
        <v>23176</v>
      </c>
      <c r="H21" s="87">
        <v>378</v>
      </c>
      <c r="I21" s="111">
        <v>21800</v>
      </c>
      <c r="J21" s="111">
        <v>304</v>
      </c>
      <c r="K21" s="111">
        <v>28882</v>
      </c>
      <c r="L21" s="111">
        <v>148243</v>
      </c>
      <c r="M21" s="113" t="s">
        <v>110</v>
      </c>
      <c r="N21" s="115" t="s">
        <v>235</v>
      </c>
      <c r="O21" s="110">
        <v>200</v>
      </c>
      <c r="P21" s="109"/>
      <c r="Q21" s="107"/>
    </row>
    <row r="22" spans="1:17" ht="10.5" customHeight="1">
      <c r="A22" s="90"/>
      <c r="B22" s="94">
        <v>21</v>
      </c>
      <c r="C22" s="92"/>
      <c r="D22" s="82" t="s">
        <v>183</v>
      </c>
      <c r="E22" s="84">
        <v>1614</v>
      </c>
      <c r="F22" s="87">
        <v>5428</v>
      </c>
      <c r="G22" s="87">
        <v>19774</v>
      </c>
      <c r="H22" s="87">
        <v>5994</v>
      </c>
      <c r="I22" s="111">
        <v>19048</v>
      </c>
      <c r="J22" s="111">
        <v>6649</v>
      </c>
      <c r="K22" s="111">
        <v>28197</v>
      </c>
      <c r="L22" s="111">
        <v>160471</v>
      </c>
      <c r="M22" s="113" t="s">
        <v>110</v>
      </c>
      <c r="N22" s="115" t="s">
        <v>236</v>
      </c>
      <c r="O22" s="105"/>
      <c r="P22" s="109">
        <v>21</v>
      </c>
      <c r="Q22" s="107"/>
    </row>
    <row r="23" spans="1:17" ht="10.5" customHeight="1">
      <c r="A23" s="90"/>
      <c r="B23" s="94"/>
      <c r="C23" s="95">
        <v>210</v>
      </c>
      <c r="D23" s="82" t="s">
        <v>184</v>
      </c>
      <c r="E23" s="84">
        <v>1614</v>
      </c>
      <c r="F23" s="87">
        <v>5428</v>
      </c>
      <c r="G23" s="87">
        <v>19774</v>
      </c>
      <c r="H23" s="87">
        <v>5994</v>
      </c>
      <c r="I23" s="111">
        <v>19048</v>
      </c>
      <c r="J23" s="111">
        <v>6649</v>
      </c>
      <c r="K23" s="111">
        <v>28197</v>
      </c>
      <c r="L23" s="111">
        <v>160471</v>
      </c>
      <c r="M23" s="113" t="s">
        <v>110</v>
      </c>
      <c r="N23" s="115" t="s">
        <v>237</v>
      </c>
      <c r="O23" s="110">
        <v>210</v>
      </c>
      <c r="P23" s="109"/>
      <c r="Q23" s="107"/>
    </row>
    <row r="24" spans="1:17" ht="10.5" customHeight="1">
      <c r="A24" s="90"/>
      <c r="B24" s="94">
        <v>22</v>
      </c>
      <c r="C24" s="92"/>
      <c r="D24" s="82" t="s">
        <v>185</v>
      </c>
      <c r="E24" s="84">
        <v>9785</v>
      </c>
      <c r="F24" s="87">
        <v>4641</v>
      </c>
      <c r="G24" s="87">
        <v>65010</v>
      </c>
      <c r="H24" s="87">
        <v>4741</v>
      </c>
      <c r="I24" s="111">
        <v>63075</v>
      </c>
      <c r="J24" s="111">
        <v>4944</v>
      </c>
      <c r="K24" s="111">
        <v>69820</v>
      </c>
      <c r="L24" s="111">
        <v>409168</v>
      </c>
      <c r="M24" s="113" t="s">
        <v>110</v>
      </c>
      <c r="N24" s="115" t="s">
        <v>238</v>
      </c>
      <c r="O24" s="105"/>
      <c r="P24" s="109">
        <v>22</v>
      </c>
      <c r="Q24" s="107"/>
    </row>
    <row r="25" spans="1:17" ht="10.5" customHeight="1">
      <c r="A25" s="90"/>
      <c r="B25" s="94"/>
      <c r="C25" s="95">
        <v>220</v>
      </c>
      <c r="D25" s="82" t="s">
        <v>186</v>
      </c>
      <c r="E25" s="84">
        <v>9785</v>
      </c>
      <c r="F25" s="87">
        <v>4641</v>
      </c>
      <c r="G25" s="87">
        <v>65010</v>
      </c>
      <c r="H25" s="87">
        <v>4741</v>
      </c>
      <c r="I25" s="111">
        <v>63075</v>
      </c>
      <c r="J25" s="111">
        <v>4944</v>
      </c>
      <c r="K25" s="111">
        <v>69820</v>
      </c>
      <c r="L25" s="111">
        <v>409168</v>
      </c>
      <c r="M25" s="113" t="s">
        <v>110</v>
      </c>
      <c r="N25" s="115" t="s">
        <v>239</v>
      </c>
      <c r="O25" s="110">
        <v>220</v>
      </c>
      <c r="P25" s="109"/>
      <c r="Q25" s="107"/>
    </row>
    <row r="26" spans="1:17" ht="10.5" customHeight="1">
      <c r="A26" s="90"/>
      <c r="B26" s="94">
        <v>23</v>
      </c>
      <c r="C26" s="92"/>
      <c r="D26" s="82" t="s">
        <v>187</v>
      </c>
      <c r="E26" s="84">
        <v>3126</v>
      </c>
      <c r="F26" s="87">
        <v>2966</v>
      </c>
      <c r="G26" s="87">
        <v>63676</v>
      </c>
      <c r="H26" s="87">
        <v>2576</v>
      </c>
      <c r="I26" s="111">
        <v>61716</v>
      </c>
      <c r="J26" s="111">
        <v>3113</v>
      </c>
      <c r="K26" s="111">
        <v>83541</v>
      </c>
      <c r="L26" s="111">
        <v>404736</v>
      </c>
      <c r="M26" s="113" t="s">
        <v>110</v>
      </c>
      <c r="N26" s="115" t="s">
        <v>240</v>
      </c>
      <c r="O26" s="105"/>
      <c r="P26" s="109">
        <v>23</v>
      </c>
      <c r="Q26" s="107"/>
    </row>
    <row r="27" spans="1:17" ht="10.5" customHeight="1">
      <c r="A27" s="90"/>
      <c r="B27" s="94"/>
      <c r="C27" s="95">
        <v>231</v>
      </c>
      <c r="D27" s="82" t="s">
        <v>188</v>
      </c>
      <c r="E27" s="84">
        <v>509</v>
      </c>
      <c r="F27" s="87">
        <v>2115</v>
      </c>
      <c r="G27" s="87">
        <v>13117</v>
      </c>
      <c r="H27" s="87">
        <v>1929</v>
      </c>
      <c r="I27" s="111">
        <v>12401</v>
      </c>
      <c r="J27" s="111">
        <v>2424</v>
      </c>
      <c r="K27" s="111">
        <v>12891</v>
      </c>
      <c r="L27" s="111">
        <v>85143</v>
      </c>
      <c r="M27" s="113" t="s">
        <v>110</v>
      </c>
      <c r="N27" s="115" t="s">
        <v>241</v>
      </c>
      <c r="O27" s="110">
        <v>231</v>
      </c>
      <c r="P27" s="109"/>
      <c r="Q27" s="107"/>
    </row>
    <row r="28" spans="1:17" ht="20.100000000000001" customHeight="1">
      <c r="A28" s="90"/>
      <c r="B28" s="94"/>
      <c r="C28" s="95">
        <v>232</v>
      </c>
      <c r="D28" s="82" t="s">
        <v>189</v>
      </c>
      <c r="E28" s="84">
        <v>756</v>
      </c>
      <c r="F28" s="87">
        <v>102</v>
      </c>
      <c r="G28" s="87">
        <v>6575</v>
      </c>
      <c r="H28" s="87">
        <v>124</v>
      </c>
      <c r="I28" s="111">
        <v>6231</v>
      </c>
      <c r="J28" s="111">
        <v>108</v>
      </c>
      <c r="K28" s="111">
        <v>7911</v>
      </c>
      <c r="L28" s="111">
        <v>40164</v>
      </c>
      <c r="M28" s="113" t="s">
        <v>110</v>
      </c>
      <c r="N28" s="115" t="s">
        <v>242</v>
      </c>
      <c r="O28" s="110">
        <v>232</v>
      </c>
      <c r="P28" s="109"/>
      <c r="Q28" s="107"/>
    </row>
    <row r="29" spans="1:17" ht="10.5" customHeight="1">
      <c r="A29" s="90"/>
      <c r="B29" s="94"/>
      <c r="C29" s="95">
        <v>233</v>
      </c>
      <c r="D29" s="82" t="s">
        <v>190</v>
      </c>
      <c r="E29" s="84">
        <v>893</v>
      </c>
      <c r="F29" s="87">
        <v>223</v>
      </c>
      <c r="G29" s="87">
        <v>33869</v>
      </c>
      <c r="H29" s="87">
        <v>19</v>
      </c>
      <c r="I29" s="111">
        <v>33261</v>
      </c>
      <c r="J29" s="111">
        <v>5</v>
      </c>
      <c r="K29" s="111">
        <v>51429</v>
      </c>
      <c r="L29" s="111">
        <v>215363</v>
      </c>
      <c r="M29" s="113" t="s">
        <v>110</v>
      </c>
      <c r="N29" s="115" t="s">
        <v>243</v>
      </c>
      <c r="O29" s="110">
        <v>233</v>
      </c>
      <c r="P29" s="109"/>
      <c r="Q29" s="107"/>
    </row>
    <row r="30" spans="1:17" ht="10.5" customHeight="1">
      <c r="A30" s="90"/>
      <c r="B30" s="94"/>
      <c r="C30" s="95">
        <v>234</v>
      </c>
      <c r="D30" s="82" t="s">
        <v>191</v>
      </c>
      <c r="E30" s="84">
        <v>522</v>
      </c>
      <c r="F30" s="87">
        <v>34</v>
      </c>
      <c r="G30" s="87">
        <v>3289</v>
      </c>
      <c r="H30" s="87">
        <v>32</v>
      </c>
      <c r="I30" s="111">
        <v>2965</v>
      </c>
      <c r="J30" s="111">
        <v>42</v>
      </c>
      <c r="K30" s="111">
        <v>3695</v>
      </c>
      <c r="L30" s="111">
        <v>19574</v>
      </c>
      <c r="M30" s="113" t="s">
        <v>110</v>
      </c>
      <c r="N30" s="115" t="s">
        <v>244</v>
      </c>
      <c r="O30" s="110">
        <v>234</v>
      </c>
      <c r="P30" s="109"/>
      <c r="Q30" s="107"/>
    </row>
    <row r="31" spans="1:17" ht="10.5" customHeight="1">
      <c r="A31" s="90"/>
      <c r="B31" s="94"/>
      <c r="C31" s="95">
        <v>239</v>
      </c>
      <c r="D31" s="82" t="s">
        <v>192</v>
      </c>
      <c r="E31" s="84">
        <v>446</v>
      </c>
      <c r="F31" s="87">
        <v>493</v>
      </c>
      <c r="G31" s="87">
        <v>6826</v>
      </c>
      <c r="H31" s="87">
        <v>471</v>
      </c>
      <c r="I31" s="111">
        <v>6858</v>
      </c>
      <c r="J31" s="111">
        <v>534</v>
      </c>
      <c r="K31" s="111">
        <v>7615</v>
      </c>
      <c r="L31" s="111">
        <v>44492</v>
      </c>
      <c r="M31" s="113" t="s">
        <v>110</v>
      </c>
      <c r="N31" s="115" t="s">
        <v>245</v>
      </c>
      <c r="O31" s="110">
        <v>239</v>
      </c>
      <c r="P31" s="109"/>
      <c r="Q31" s="107"/>
    </row>
    <row r="32" spans="1:17" ht="10.5" customHeight="1">
      <c r="A32" s="90"/>
      <c r="B32" s="94">
        <v>24</v>
      </c>
      <c r="C32" s="92"/>
      <c r="D32" s="82" t="s">
        <v>193</v>
      </c>
      <c r="E32" s="84">
        <v>6040</v>
      </c>
      <c r="F32" s="87">
        <v>17647</v>
      </c>
      <c r="G32" s="87">
        <v>200492</v>
      </c>
      <c r="H32" s="87">
        <v>19551</v>
      </c>
      <c r="I32" s="111">
        <v>195624</v>
      </c>
      <c r="J32" s="111">
        <v>17932</v>
      </c>
      <c r="K32" s="111">
        <v>248739</v>
      </c>
      <c r="L32" s="111">
        <v>1361150</v>
      </c>
      <c r="M32" s="113" t="s">
        <v>110</v>
      </c>
      <c r="N32" s="115" t="s">
        <v>246</v>
      </c>
      <c r="O32" s="105"/>
      <c r="P32" s="109">
        <v>24</v>
      </c>
      <c r="Q32" s="107"/>
    </row>
    <row r="33" spans="1:17" ht="10.5" customHeight="1">
      <c r="A33" s="90"/>
      <c r="B33" s="94"/>
      <c r="C33" s="95">
        <v>241</v>
      </c>
      <c r="D33" s="82" t="s">
        <v>194</v>
      </c>
      <c r="E33" s="84">
        <v>3468</v>
      </c>
      <c r="F33" s="87">
        <v>8635</v>
      </c>
      <c r="G33" s="87">
        <v>154405</v>
      </c>
      <c r="H33" s="87">
        <v>8842</v>
      </c>
      <c r="I33" s="111">
        <v>151391</v>
      </c>
      <c r="J33" s="111">
        <v>7218</v>
      </c>
      <c r="K33" s="111">
        <v>174048</v>
      </c>
      <c r="L33" s="111">
        <v>1017585</v>
      </c>
      <c r="M33" s="113" t="s">
        <v>110</v>
      </c>
      <c r="N33" s="115" t="s">
        <v>247</v>
      </c>
      <c r="O33" s="110">
        <v>241</v>
      </c>
      <c r="P33" s="109"/>
      <c r="Q33" s="107"/>
    </row>
    <row r="34" spans="1:17" ht="10.5" customHeight="1">
      <c r="A34" s="90"/>
      <c r="B34" s="94"/>
      <c r="C34" s="95">
        <v>242</v>
      </c>
      <c r="D34" s="82" t="s">
        <v>195</v>
      </c>
      <c r="E34" s="84">
        <v>893</v>
      </c>
      <c r="F34" s="87">
        <v>2076</v>
      </c>
      <c r="G34" s="87">
        <v>20754</v>
      </c>
      <c r="H34" s="87">
        <v>2491</v>
      </c>
      <c r="I34" s="111">
        <v>19380</v>
      </c>
      <c r="J34" s="111">
        <v>2228</v>
      </c>
      <c r="K34" s="111">
        <v>27687</v>
      </c>
      <c r="L34" s="111">
        <v>140460</v>
      </c>
      <c r="M34" s="113" t="s">
        <v>110</v>
      </c>
      <c r="N34" s="115" t="s">
        <v>248</v>
      </c>
      <c r="O34" s="110">
        <v>242</v>
      </c>
      <c r="P34" s="109"/>
      <c r="Q34" s="107"/>
    </row>
    <row r="35" spans="1:17" ht="10.5" customHeight="1">
      <c r="A35" s="90"/>
      <c r="B35" s="94"/>
      <c r="C35" s="95">
        <v>243</v>
      </c>
      <c r="D35" s="82" t="s">
        <v>196</v>
      </c>
      <c r="E35" s="84">
        <v>268</v>
      </c>
      <c r="F35" s="87">
        <v>5426</v>
      </c>
      <c r="G35" s="87">
        <v>13809</v>
      </c>
      <c r="H35" s="87">
        <v>6332</v>
      </c>
      <c r="I35" s="111">
        <v>13339</v>
      </c>
      <c r="J35" s="111">
        <v>6719</v>
      </c>
      <c r="K35" s="111">
        <v>33875</v>
      </c>
      <c r="L35" s="111">
        <v>121375</v>
      </c>
      <c r="M35" s="113" t="s">
        <v>110</v>
      </c>
      <c r="N35" s="115" t="s">
        <v>249</v>
      </c>
      <c r="O35" s="110">
        <v>243</v>
      </c>
      <c r="P35" s="109"/>
      <c r="Q35" s="107"/>
    </row>
    <row r="36" spans="1:17" ht="10.5" customHeight="1">
      <c r="A36" s="90"/>
      <c r="B36" s="94"/>
      <c r="C36" s="95">
        <v>249</v>
      </c>
      <c r="D36" s="82" t="s">
        <v>197</v>
      </c>
      <c r="E36" s="84">
        <v>1411</v>
      </c>
      <c r="F36" s="87">
        <v>1511</v>
      </c>
      <c r="G36" s="87">
        <v>11524</v>
      </c>
      <c r="H36" s="87">
        <v>1886</v>
      </c>
      <c r="I36" s="111">
        <v>11514</v>
      </c>
      <c r="J36" s="111">
        <v>1768</v>
      </c>
      <c r="K36" s="111">
        <v>13129</v>
      </c>
      <c r="L36" s="111">
        <v>81730</v>
      </c>
      <c r="M36" s="113" t="s">
        <v>110</v>
      </c>
      <c r="N36" s="115" t="s">
        <v>250</v>
      </c>
      <c r="O36" s="110">
        <v>249</v>
      </c>
      <c r="P36" s="109"/>
      <c r="Q36" s="107"/>
    </row>
    <row r="37" spans="1:17" ht="10.5" customHeight="1">
      <c r="A37" s="90"/>
      <c r="B37" s="94">
        <v>25</v>
      </c>
      <c r="C37" s="92"/>
      <c r="D37" s="82" t="s">
        <v>198</v>
      </c>
      <c r="E37" s="84">
        <v>38314</v>
      </c>
      <c r="F37" s="87">
        <v>15289</v>
      </c>
      <c r="G37" s="87">
        <v>215619</v>
      </c>
      <c r="H37" s="87">
        <v>15102</v>
      </c>
      <c r="I37" s="111">
        <v>192329</v>
      </c>
      <c r="J37" s="111">
        <v>16162</v>
      </c>
      <c r="K37" s="111">
        <v>268892</v>
      </c>
      <c r="L37" s="111">
        <v>1346850</v>
      </c>
      <c r="M37" s="113" t="s">
        <v>110</v>
      </c>
      <c r="N37" s="115" t="s">
        <v>251</v>
      </c>
      <c r="O37" s="105"/>
      <c r="P37" s="109">
        <v>25</v>
      </c>
      <c r="Q37" s="107"/>
    </row>
    <row r="38" spans="1:17" ht="10.5" customHeight="1">
      <c r="A38" s="90"/>
      <c r="B38" s="94"/>
      <c r="C38" s="95">
        <v>251</v>
      </c>
      <c r="D38" s="82" t="s">
        <v>199</v>
      </c>
      <c r="E38" s="84">
        <v>14406</v>
      </c>
      <c r="F38" s="87">
        <v>5117</v>
      </c>
      <c r="G38" s="87">
        <v>54256</v>
      </c>
      <c r="H38" s="87">
        <v>5179</v>
      </c>
      <c r="I38" s="111">
        <v>49945</v>
      </c>
      <c r="J38" s="111">
        <v>5839</v>
      </c>
      <c r="K38" s="111">
        <v>59613</v>
      </c>
      <c r="L38" s="111">
        <v>347977</v>
      </c>
      <c r="M38" s="113" t="s">
        <v>110</v>
      </c>
      <c r="N38" s="115" t="s">
        <v>252</v>
      </c>
      <c r="O38" s="110">
        <v>251</v>
      </c>
      <c r="P38" s="109"/>
      <c r="Q38" s="107"/>
    </row>
    <row r="39" spans="1:17" ht="20.100000000000001" customHeight="1">
      <c r="A39" s="90"/>
      <c r="B39" s="94"/>
      <c r="C39" s="95">
        <v>252</v>
      </c>
      <c r="D39" s="82" t="s">
        <v>200</v>
      </c>
      <c r="E39" s="84">
        <v>4234</v>
      </c>
      <c r="F39" s="87">
        <v>270</v>
      </c>
      <c r="G39" s="87">
        <v>21654</v>
      </c>
      <c r="H39" s="87">
        <v>169</v>
      </c>
      <c r="I39" s="111">
        <v>21533</v>
      </c>
      <c r="J39" s="111">
        <v>191</v>
      </c>
      <c r="K39" s="111">
        <v>25372</v>
      </c>
      <c r="L39" s="111">
        <v>131387</v>
      </c>
      <c r="M39" s="113" t="s">
        <v>110</v>
      </c>
      <c r="N39" s="115" t="s">
        <v>253</v>
      </c>
      <c r="O39" s="110">
        <v>252</v>
      </c>
      <c r="P39" s="109"/>
      <c r="Q39" s="107"/>
    </row>
    <row r="40" spans="1:17" ht="10.5" customHeight="1">
      <c r="A40" s="90"/>
      <c r="B40" s="94"/>
      <c r="C40" s="95">
        <v>253</v>
      </c>
      <c r="D40" s="82" t="s">
        <v>201</v>
      </c>
      <c r="E40" s="84">
        <v>505</v>
      </c>
      <c r="F40" s="87">
        <v>121</v>
      </c>
      <c r="G40" s="87">
        <v>6128</v>
      </c>
      <c r="H40" s="87">
        <v>55</v>
      </c>
      <c r="I40" s="111">
        <v>5967</v>
      </c>
      <c r="J40" s="111">
        <v>70</v>
      </c>
      <c r="K40" s="111">
        <v>5879</v>
      </c>
      <c r="L40" s="111">
        <v>34866</v>
      </c>
      <c r="M40" s="113" t="s">
        <v>110</v>
      </c>
      <c r="N40" s="115" t="s">
        <v>254</v>
      </c>
      <c r="O40" s="110">
        <v>253</v>
      </c>
      <c r="P40" s="109"/>
      <c r="Q40" s="107"/>
    </row>
    <row r="41" spans="1:17" ht="10.5" customHeight="1">
      <c r="A41" s="90"/>
      <c r="B41" s="94"/>
      <c r="C41" s="95">
        <v>254</v>
      </c>
      <c r="D41" s="82" t="s">
        <v>202</v>
      </c>
      <c r="E41" s="84">
        <v>9209</v>
      </c>
      <c r="F41" s="87">
        <v>3011</v>
      </c>
      <c r="G41" s="87">
        <v>49302</v>
      </c>
      <c r="H41" s="87">
        <v>2930</v>
      </c>
      <c r="I41" s="111">
        <v>45808</v>
      </c>
      <c r="J41" s="111">
        <v>3167</v>
      </c>
      <c r="K41" s="111">
        <v>54959</v>
      </c>
      <c r="L41" s="111">
        <v>308940</v>
      </c>
      <c r="M41" s="113" t="s">
        <v>110</v>
      </c>
      <c r="N41" s="115" t="s">
        <v>255</v>
      </c>
      <c r="O41" s="110">
        <v>254</v>
      </c>
      <c r="P41" s="109"/>
      <c r="Q41" s="107"/>
    </row>
    <row r="42" spans="1:17" ht="10.5" customHeight="1">
      <c r="A42" s="90"/>
      <c r="B42" s="94"/>
      <c r="C42" s="95">
        <v>259</v>
      </c>
      <c r="D42" s="82" t="s">
        <v>203</v>
      </c>
      <c r="E42" s="84">
        <v>9960</v>
      </c>
      <c r="F42" s="87">
        <v>6770</v>
      </c>
      <c r="G42" s="87">
        <v>84280</v>
      </c>
      <c r="H42" s="87">
        <v>6770</v>
      </c>
      <c r="I42" s="111">
        <v>69077</v>
      </c>
      <c r="J42" s="111">
        <v>6895</v>
      </c>
      <c r="K42" s="111">
        <v>123070</v>
      </c>
      <c r="L42" s="111">
        <v>523681</v>
      </c>
      <c r="M42" s="113" t="s">
        <v>110</v>
      </c>
      <c r="N42" s="115" t="s">
        <v>256</v>
      </c>
      <c r="O42" s="110">
        <v>259</v>
      </c>
      <c r="P42" s="109"/>
      <c r="Q42" s="107"/>
    </row>
    <row r="43" spans="1:17" ht="10.5" customHeight="1">
      <c r="A43" s="90"/>
      <c r="B43" s="94">
        <v>26</v>
      </c>
      <c r="C43" s="92"/>
      <c r="D43" s="82" t="s">
        <v>204</v>
      </c>
      <c r="E43" s="84">
        <v>5831</v>
      </c>
      <c r="F43" s="87">
        <v>242786</v>
      </c>
      <c r="G43" s="87">
        <v>669148</v>
      </c>
      <c r="H43" s="87">
        <v>249061</v>
      </c>
      <c r="I43" s="111">
        <v>632154</v>
      </c>
      <c r="J43" s="111">
        <v>303807</v>
      </c>
      <c r="K43" s="111">
        <v>818757</v>
      </c>
      <c r="L43" s="111">
        <v>5436736</v>
      </c>
      <c r="M43" s="113" t="s">
        <v>110</v>
      </c>
      <c r="N43" s="115" t="s">
        <v>257</v>
      </c>
      <c r="O43" s="105"/>
      <c r="P43" s="109">
        <v>26</v>
      </c>
      <c r="Q43" s="107"/>
    </row>
    <row r="44" spans="1:17" ht="10.5" customHeight="1">
      <c r="A44" s="90"/>
      <c r="B44" s="94"/>
      <c r="C44" s="95">
        <v>261</v>
      </c>
      <c r="D44" s="82" t="s">
        <v>205</v>
      </c>
      <c r="E44" s="84">
        <v>415</v>
      </c>
      <c r="F44" s="87">
        <v>195689</v>
      </c>
      <c r="G44" s="87">
        <v>411879</v>
      </c>
      <c r="H44" s="87">
        <v>198816</v>
      </c>
      <c r="I44" s="111">
        <v>372465</v>
      </c>
      <c r="J44" s="111">
        <v>252162</v>
      </c>
      <c r="K44" s="111">
        <v>499541</v>
      </c>
      <c r="L44" s="111">
        <v>3557017</v>
      </c>
      <c r="M44" s="113" t="s">
        <v>110</v>
      </c>
      <c r="N44" s="115" t="s">
        <v>258</v>
      </c>
      <c r="O44" s="110">
        <v>261</v>
      </c>
      <c r="P44" s="109"/>
      <c r="Q44" s="107"/>
    </row>
    <row r="45" spans="1:17" ht="10.5" customHeight="1">
      <c r="A45" s="90"/>
      <c r="B45" s="94"/>
      <c r="C45" s="95">
        <v>262</v>
      </c>
      <c r="D45" s="82" t="s">
        <v>206</v>
      </c>
      <c r="E45" s="84">
        <v>261</v>
      </c>
      <c r="F45" s="87">
        <v>4545</v>
      </c>
      <c r="G45" s="87">
        <v>16356</v>
      </c>
      <c r="H45" s="87">
        <v>4671</v>
      </c>
      <c r="I45" s="111">
        <v>18102</v>
      </c>
      <c r="J45" s="111">
        <v>4663</v>
      </c>
      <c r="K45" s="111">
        <v>19583</v>
      </c>
      <c r="L45" s="111">
        <v>122832</v>
      </c>
      <c r="M45" s="113" t="s">
        <v>110</v>
      </c>
      <c r="N45" s="115" t="s">
        <v>259</v>
      </c>
      <c r="O45" s="110">
        <v>262</v>
      </c>
      <c r="P45" s="109"/>
      <c r="Q45" s="107"/>
    </row>
    <row r="46" spans="1:17" ht="10.5" customHeight="1">
      <c r="A46" s="90"/>
      <c r="B46" s="94"/>
      <c r="C46" s="95">
        <v>263</v>
      </c>
      <c r="D46" s="82" t="s">
        <v>207</v>
      </c>
      <c r="E46" s="84">
        <v>238</v>
      </c>
      <c r="F46" s="87">
        <v>3056</v>
      </c>
      <c r="G46" s="87">
        <v>13247</v>
      </c>
      <c r="H46" s="87">
        <v>3498</v>
      </c>
      <c r="I46" s="111">
        <v>13301</v>
      </c>
      <c r="J46" s="111">
        <v>3417</v>
      </c>
      <c r="K46" s="111">
        <v>15276</v>
      </c>
      <c r="L46" s="111">
        <v>96324</v>
      </c>
      <c r="M46" s="113" t="s">
        <v>110</v>
      </c>
      <c r="N46" s="115" t="s">
        <v>260</v>
      </c>
      <c r="O46" s="110">
        <v>263</v>
      </c>
      <c r="P46" s="109"/>
      <c r="Q46" s="107"/>
    </row>
    <row r="47" spans="1:17" ht="10.5" customHeight="1">
      <c r="A47" s="90"/>
      <c r="B47" s="94"/>
      <c r="C47" s="95">
        <v>264</v>
      </c>
      <c r="D47" s="82" t="s">
        <v>208</v>
      </c>
      <c r="E47" s="84">
        <v>174</v>
      </c>
      <c r="F47" s="87">
        <v>4517</v>
      </c>
      <c r="G47" s="87">
        <v>38462</v>
      </c>
      <c r="H47" s="87">
        <v>4682</v>
      </c>
      <c r="I47" s="111">
        <v>35545</v>
      </c>
      <c r="J47" s="111">
        <v>4307</v>
      </c>
      <c r="K47" s="111">
        <v>36931</v>
      </c>
      <c r="L47" s="111">
        <v>227855</v>
      </c>
      <c r="M47" s="113" t="s">
        <v>110</v>
      </c>
      <c r="N47" s="115" t="s">
        <v>261</v>
      </c>
      <c r="O47" s="110">
        <v>264</v>
      </c>
      <c r="P47" s="109"/>
      <c r="Q47" s="107"/>
    </row>
    <row r="48" spans="1:17" ht="10.5" customHeight="1">
      <c r="A48" s="90"/>
      <c r="B48" s="94"/>
      <c r="C48" s="95">
        <v>269</v>
      </c>
      <c r="D48" s="82" t="s">
        <v>209</v>
      </c>
      <c r="E48" s="84">
        <v>4743</v>
      </c>
      <c r="F48" s="87">
        <v>34979</v>
      </c>
      <c r="G48" s="87">
        <v>189205</v>
      </c>
      <c r="H48" s="87">
        <v>37395</v>
      </c>
      <c r="I48" s="111">
        <v>192740</v>
      </c>
      <c r="J48" s="111">
        <v>39258</v>
      </c>
      <c r="K48" s="111">
        <v>247427</v>
      </c>
      <c r="L48" s="111">
        <v>1432708</v>
      </c>
      <c r="M48" s="113" t="s">
        <v>110</v>
      </c>
      <c r="N48" s="115" t="s">
        <v>262</v>
      </c>
      <c r="O48" s="110">
        <v>269</v>
      </c>
      <c r="P48" s="109"/>
      <c r="Q48" s="107"/>
    </row>
    <row r="49" spans="1:17" ht="10.5" customHeight="1">
      <c r="A49" s="90"/>
      <c r="B49" s="94">
        <v>27</v>
      </c>
      <c r="C49" s="92"/>
      <c r="D49" s="82" t="s">
        <v>210</v>
      </c>
      <c r="E49" s="84">
        <v>2935</v>
      </c>
      <c r="F49" s="87">
        <v>76740</v>
      </c>
      <c r="G49" s="87">
        <v>205870</v>
      </c>
      <c r="H49" s="87">
        <v>78684</v>
      </c>
      <c r="I49" s="111">
        <v>220083</v>
      </c>
      <c r="J49" s="111">
        <v>71161</v>
      </c>
      <c r="K49" s="111">
        <v>261849</v>
      </c>
      <c r="L49" s="111">
        <v>1525474</v>
      </c>
      <c r="M49" s="113" t="s">
        <v>110</v>
      </c>
      <c r="N49" s="115" t="s">
        <v>263</v>
      </c>
      <c r="O49" s="105"/>
      <c r="P49" s="109">
        <v>27</v>
      </c>
      <c r="Q49" s="107"/>
    </row>
    <row r="50" spans="1:17" ht="10.5" customHeight="1">
      <c r="A50" s="90"/>
      <c r="B50" s="94"/>
      <c r="C50" s="95">
        <v>271</v>
      </c>
      <c r="D50" s="82" t="s">
        <v>211</v>
      </c>
      <c r="E50" s="84">
        <v>723</v>
      </c>
      <c r="F50" s="87">
        <v>18491</v>
      </c>
      <c r="G50" s="87">
        <v>48630</v>
      </c>
      <c r="H50" s="87">
        <v>25141</v>
      </c>
      <c r="I50" s="111">
        <v>45029</v>
      </c>
      <c r="J50" s="111">
        <v>23728</v>
      </c>
      <c r="K50" s="111">
        <v>64581</v>
      </c>
      <c r="L50" s="111">
        <v>389080</v>
      </c>
      <c r="M50" s="113" t="s">
        <v>110</v>
      </c>
      <c r="N50" s="115" t="s">
        <v>264</v>
      </c>
      <c r="O50" s="110">
        <v>271</v>
      </c>
      <c r="P50" s="109"/>
      <c r="Q50" s="107"/>
    </row>
    <row r="51" spans="1:17" ht="10.5" customHeight="1">
      <c r="A51" s="90"/>
      <c r="B51" s="94"/>
      <c r="C51" s="95">
        <v>272</v>
      </c>
      <c r="D51" s="82" t="s">
        <v>212</v>
      </c>
      <c r="E51" s="84">
        <v>498</v>
      </c>
      <c r="F51" s="87">
        <v>44497</v>
      </c>
      <c r="G51" s="87">
        <v>90794</v>
      </c>
      <c r="H51" s="87">
        <v>40388</v>
      </c>
      <c r="I51" s="111">
        <v>106231</v>
      </c>
      <c r="J51" s="111">
        <v>33290</v>
      </c>
      <c r="K51" s="111">
        <v>101845</v>
      </c>
      <c r="L51" s="111">
        <v>647587</v>
      </c>
      <c r="M51" s="113" t="s">
        <v>110</v>
      </c>
      <c r="N51" s="115" t="s">
        <v>265</v>
      </c>
      <c r="O51" s="110">
        <v>272</v>
      </c>
      <c r="P51" s="109"/>
      <c r="Q51" s="107"/>
    </row>
    <row r="52" spans="1:17" ht="10.5" customHeight="1">
      <c r="A52" s="90"/>
      <c r="B52" s="94"/>
      <c r="C52" s="95">
        <v>273</v>
      </c>
      <c r="D52" s="82" t="s">
        <v>213</v>
      </c>
      <c r="E52" s="84">
        <v>669</v>
      </c>
      <c r="F52" s="87">
        <v>5307</v>
      </c>
      <c r="G52" s="87">
        <v>32624</v>
      </c>
      <c r="H52" s="87">
        <v>4586</v>
      </c>
      <c r="I52" s="111">
        <v>32909</v>
      </c>
      <c r="J52" s="111">
        <v>5529</v>
      </c>
      <c r="K52" s="111">
        <v>57746</v>
      </c>
      <c r="L52" s="111">
        <v>245674</v>
      </c>
      <c r="M52" s="113" t="s">
        <v>110</v>
      </c>
      <c r="N52" s="115" t="s">
        <v>266</v>
      </c>
      <c r="O52" s="110">
        <v>273</v>
      </c>
      <c r="P52" s="109"/>
      <c r="Q52" s="107"/>
    </row>
    <row r="53" spans="1:17" ht="10.5" customHeight="1">
      <c r="A53" s="90"/>
      <c r="B53" s="94"/>
      <c r="C53" s="95">
        <v>274</v>
      </c>
      <c r="D53" s="82" t="s">
        <v>214</v>
      </c>
      <c r="E53" s="84">
        <v>41</v>
      </c>
      <c r="F53" s="87">
        <v>1848</v>
      </c>
      <c r="G53" s="87">
        <v>2742</v>
      </c>
      <c r="H53" s="87">
        <v>1722</v>
      </c>
      <c r="I53" s="111">
        <v>2986</v>
      </c>
      <c r="J53" s="111">
        <v>1905</v>
      </c>
      <c r="K53" s="111">
        <v>3454</v>
      </c>
      <c r="L53" s="111">
        <v>26775</v>
      </c>
      <c r="M53" s="113" t="s">
        <v>110</v>
      </c>
      <c r="N53" s="115" t="s">
        <v>267</v>
      </c>
      <c r="O53" s="110">
        <v>274</v>
      </c>
      <c r="P53" s="109"/>
      <c r="Q53" s="107"/>
    </row>
    <row r="54" spans="1:17" ht="20.100000000000001" customHeight="1">
      <c r="A54" s="90"/>
      <c r="B54" s="94"/>
      <c r="C54" s="95">
        <v>275</v>
      </c>
      <c r="D54" s="82" t="s">
        <v>215</v>
      </c>
      <c r="E54" s="84">
        <v>540</v>
      </c>
      <c r="F54" s="87">
        <v>5017</v>
      </c>
      <c r="G54" s="87">
        <v>11725</v>
      </c>
      <c r="H54" s="87">
        <v>5125</v>
      </c>
      <c r="I54" s="111">
        <v>10574</v>
      </c>
      <c r="J54" s="111">
        <v>5081</v>
      </c>
      <c r="K54" s="111">
        <v>12166</v>
      </c>
      <c r="L54" s="111">
        <v>96990</v>
      </c>
      <c r="M54" s="113" t="s">
        <v>110</v>
      </c>
      <c r="N54" s="115" t="s">
        <v>268</v>
      </c>
      <c r="O54" s="110">
        <v>275</v>
      </c>
      <c r="P54" s="109"/>
      <c r="Q54" s="107"/>
    </row>
    <row r="55" spans="1:17" ht="10.5" customHeight="1">
      <c r="A55" s="90"/>
      <c r="B55" s="94"/>
      <c r="C55" s="95">
        <v>276</v>
      </c>
      <c r="D55" s="82" t="s">
        <v>216</v>
      </c>
      <c r="E55" s="84">
        <v>31</v>
      </c>
      <c r="F55" s="87">
        <v>28</v>
      </c>
      <c r="G55" s="87">
        <v>1114</v>
      </c>
      <c r="H55" s="87">
        <v>42</v>
      </c>
      <c r="I55" s="111">
        <v>1051</v>
      </c>
      <c r="J55" s="111">
        <v>42</v>
      </c>
      <c r="K55" s="111">
        <v>1143</v>
      </c>
      <c r="L55" s="111">
        <v>6537</v>
      </c>
      <c r="M55" s="113" t="s">
        <v>110</v>
      </c>
      <c r="N55" s="115" t="s">
        <v>269</v>
      </c>
      <c r="O55" s="110">
        <v>276</v>
      </c>
      <c r="P55" s="109"/>
      <c r="Q55" s="107"/>
    </row>
    <row r="56" spans="1:17" ht="10.5" customHeight="1">
      <c r="A56" s="90"/>
      <c r="B56" s="94"/>
      <c r="C56" s="95">
        <v>277</v>
      </c>
      <c r="D56" s="82" t="s">
        <v>217</v>
      </c>
      <c r="E56" s="84">
        <v>433</v>
      </c>
      <c r="F56" s="87">
        <v>1551</v>
      </c>
      <c r="G56" s="87">
        <v>18240</v>
      </c>
      <c r="H56" s="87">
        <v>1681</v>
      </c>
      <c r="I56" s="111">
        <v>21303</v>
      </c>
      <c r="J56" s="111">
        <v>1587</v>
      </c>
      <c r="K56" s="111">
        <v>20913</v>
      </c>
      <c r="L56" s="111">
        <v>112830</v>
      </c>
      <c r="M56" s="113" t="s">
        <v>110</v>
      </c>
      <c r="N56" s="115" t="s">
        <v>270</v>
      </c>
      <c r="O56" s="110">
        <v>277</v>
      </c>
      <c r="P56" s="109"/>
      <c r="Q56" s="107"/>
    </row>
    <row r="57" spans="1:17" ht="10.5" customHeight="1">
      <c r="A57" s="90"/>
      <c r="B57" s="94">
        <v>28</v>
      </c>
      <c r="C57" s="92"/>
      <c r="D57" s="82" t="s">
        <v>218</v>
      </c>
      <c r="E57" s="84">
        <v>5506</v>
      </c>
      <c r="F57" s="87">
        <v>20374</v>
      </c>
      <c r="G57" s="87">
        <v>141827</v>
      </c>
      <c r="H57" s="87">
        <v>21985</v>
      </c>
      <c r="I57" s="111">
        <v>137857</v>
      </c>
      <c r="J57" s="111">
        <v>22667</v>
      </c>
      <c r="K57" s="111">
        <v>162181</v>
      </c>
      <c r="L57" s="111">
        <v>902307</v>
      </c>
      <c r="M57" s="113" t="s">
        <v>110</v>
      </c>
      <c r="N57" s="115" t="s">
        <v>271</v>
      </c>
      <c r="O57" s="105"/>
      <c r="P57" s="109">
        <v>28</v>
      </c>
      <c r="Q57" s="107"/>
    </row>
    <row r="58" spans="1:17" ht="20.100000000000001" customHeight="1">
      <c r="A58" s="90"/>
      <c r="B58" s="94"/>
      <c r="C58" s="95">
        <v>281</v>
      </c>
      <c r="D58" s="82" t="s">
        <v>219</v>
      </c>
      <c r="E58" s="84">
        <v>2349</v>
      </c>
      <c r="F58" s="87">
        <v>1225</v>
      </c>
      <c r="G58" s="87">
        <v>73745</v>
      </c>
      <c r="H58" s="87">
        <v>1319</v>
      </c>
      <c r="I58" s="111">
        <v>71170</v>
      </c>
      <c r="J58" s="111">
        <v>1226</v>
      </c>
      <c r="K58" s="111">
        <v>76247</v>
      </c>
      <c r="L58" s="111">
        <v>367070</v>
      </c>
      <c r="M58" s="113" t="s">
        <v>110</v>
      </c>
      <c r="N58" s="115" t="s">
        <v>272</v>
      </c>
      <c r="O58" s="110">
        <v>281</v>
      </c>
      <c r="P58" s="109"/>
      <c r="Q58" s="107"/>
    </row>
    <row r="59" spans="1:17" ht="5.0999999999999996" customHeight="1" thickBot="1">
      <c r="A59" s="23"/>
      <c r="B59" s="25"/>
      <c r="C59" s="25"/>
      <c r="D59" s="13"/>
      <c r="E59" s="17"/>
      <c r="F59" s="9"/>
      <c r="G59" s="9"/>
      <c r="H59" s="15"/>
      <c r="I59" s="13"/>
      <c r="J59" s="11"/>
      <c r="K59" s="11"/>
      <c r="L59" s="11"/>
      <c r="M59" s="37"/>
      <c r="N59" s="39"/>
      <c r="O59" s="9"/>
      <c r="P59" s="9"/>
      <c r="Q59" s="7"/>
    </row>
    <row r="61" spans="1:17" ht="15" customHeight="1"/>
  </sheetData>
  <mergeCells count="12">
    <mergeCell ref="D3:D6"/>
    <mergeCell ref="P3:P6"/>
    <mergeCell ref="O3:O6"/>
    <mergeCell ref="N3:N6"/>
    <mergeCell ref="I1:Q1"/>
    <mergeCell ref="A1:H1"/>
    <mergeCell ref="Q3:Q6"/>
    <mergeCell ref="F3:H3"/>
    <mergeCell ref="I3:M3"/>
    <mergeCell ref="A3:A6"/>
    <mergeCell ref="B3:B6"/>
    <mergeCell ref="C3:C6"/>
  </mergeCells>
  <phoneticPr fontId="2" type="noConversion"/>
  <printOptions horizontalCentered="1"/>
  <pageMargins left="0.78740157480314965" right="0.78740157480314965" top="0.59055118110236227" bottom="1.1811023622047245" header="0.39370078740157483" footer="1.1811023622047245"/>
  <pageSetup paperSize="9" firstPageNumber="94" orientation="portrait" useFirstPageNumber="1" horizontalDpi="4294967292" r:id="rId1"/>
  <headerFooter alignWithMargins="0">
    <oddFooter>&amp;C&amp;10  - &amp;P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2"/>
  <sheetViews>
    <sheetView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329</v>
      </c>
      <c r="B1" s="48"/>
      <c r="C1" s="48"/>
      <c r="D1" s="48"/>
      <c r="E1" s="48"/>
      <c r="F1" s="48"/>
      <c r="G1" s="48"/>
      <c r="H1" s="48"/>
      <c r="I1" s="47" t="s">
        <v>382</v>
      </c>
      <c r="J1" s="47"/>
      <c r="K1" s="47"/>
      <c r="L1" s="47"/>
      <c r="M1" s="47"/>
      <c r="N1" s="47"/>
      <c r="O1" s="47"/>
      <c r="P1" s="47"/>
      <c r="Q1" s="47"/>
    </row>
    <row r="2" spans="1:17" ht="15" customHeight="1" thickBot="1">
      <c r="A2" s="16"/>
      <c r="B2" s="16"/>
      <c r="C2" s="16"/>
      <c r="D2" s="16"/>
      <c r="E2" s="1"/>
      <c r="F2" s="18"/>
      <c r="G2" s="18"/>
      <c r="H2" s="19" t="s">
        <v>38</v>
      </c>
      <c r="J2" s="1"/>
      <c r="K2" s="1"/>
      <c r="L2" s="1"/>
      <c r="M2" s="1"/>
      <c r="N2" s="26"/>
      <c r="O2" s="26"/>
      <c r="P2" s="26"/>
      <c r="Q2" s="35" t="s">
        <v>18</v>
      </c>
    </row>
    <row r="3" spans="1:17" ht="12" customHeight="1">
      <c r="A3" s="58" t="s">
        <v>35</v>
      </c>
      <c r="B3" s="61" t="s">
        <v>36</v>
      </c>
      <c r="C3" s="61" t="s">
        <v>1</v>
      </c>
      <c r="D3" s="67" t="s">
        <v>19</v>
      </c>
      <c r="E3" s="21" t="s">
        <v>20</v>
      </c>
      <c r="F3" s="53" t="s">
        <v>21</v>
      </c>
      <c r="G3" s="54"/>
      <c r="H3" s="55"/>
      <c r="I3" s="78" t="s">
        <v>22</v>
      </c>
      <c r="J3" s="78"/>
      <c r="K3" s="78"/>
      <c r="L3" s="78"/>
      <c r="M3" s="79"/>
      <c r="N3" s="75" t="s">
        <v>23</v>
      </c>
      <c r="O3" s="74" t="s">
        <v>24</v>
      </c>
      <c r="P3" s="70" t="s">
        <v>25</v>
      </c>
      <c r="Q3" s="49" t="s">
        <v>26</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0.5" customHeight="1">
      <c r="A8" s="90"/>
      <c r="B8" s="91"/>
      <c r="C8" s="95">
        <v>282</v>
      </c>
      <c r="D8" s="82" t="s">
        <v>328</v>
      </c>
      <c r="E8" s="84">
        <v>118</v>
      </c>
      <c r="F8" s="87">
        <v>783</v>
      </c>
      <c r="G8" s="87">
        <v>6188</v>
      </c>
      <c r="H8" s="87">
        <v>1001</v>
      </c>
      <c r="I8" s="111">
        <v>5503</v>
      </c>
      <c r="J8" s="111">
        <v>932</v>
      </c>
      <c r="K8" s="111">
        <v>10871</v>
      </c>
      <c r="L8" s="111">
        <v>42656</v>
      </c>
      <c r="M8" s="113" t="s">
        <v>110</v>
      </c>
      <c r="N8" s="115" t="s">
        <v>330</v>
      </c>
      <c r="O8" s="110">
        <v>282</v>
      </c>
      <c r="P8" s="106"/>
      <c r="Q8" s="107"/>
    </row>
    <row r="9" spans="1:17" ht="10.5" customHeight="1">
      <c r="A9" s="90"/>
      <c r="B9" s="91"/>
      <c r="C9" s="95">
        <v>283</v>
      </c>
      <c r="D9" s="82" t="s">
        <v>274</v>
      </c>
      <c r="E9" s="84">
        <v>851</v>
      </c>
      <c r="F9" s="87">
        <v>9073</v>
      </c>
      <c r="G9" s="87">
        <v>25449</v>
      </c>
      <c r="H9" s="87">
        <v>9482</v>
      </c>
      <c r="I9" s="111">
        <v>24621</v>
      </c>
      <c r="J9" s="111">
        <v>10291</v>
      </c>
      <c r="K9" s="111">
        <v>28059</v>
      </c>
      <c r="L9" s="111">
        <v>210678</v>
      </c>
      <c r="M9" s="113" t="s">
        <v>110</v>
      </c>
      <c r="N9" s="115" t="s">
        <v>331</v>
      </c>
      <c r="O9" s="110">
        <v>283</v>
      </c>
      <c r="P9" s="106"/>
      <c r="Q9" s="107"/>
    </row>
    <row r="10" spans="1:17" ht="10.5" customHeight="1">
      <c r="A10" s="90"/>
      <c r="B10" s="91"/>
      <c r="C10" s="95">
        <v>284</v>
      </c>
      <c r="D10" s="82" t="s">
        <v>275</v>
      </c>
      <c r="E10" s="84">
        <v>716</v>
      </c>
      <c r="F10" s="87">
        <v>243</v>
      </c>
      <c r="G10" s="87">
        <v>5231</v>
      </c>
      <c r="H10" s="87">
        <v>201</v>
      </c>
      <c r="I10" s="111">
        <v>4855</v>
      </c>
      <c r="J10" s="111">
        <v>195</v>
      </c>
      <c r="K10" s="111">
        <v>5710</v>
      </c>
      <c r="L10" s="111">
        <v>33236</v>
      </c>
      <c r="M10" s="113" t="s">
        <v>110</v>
      </c>
      <c r="N10" s="115" t="s">
        <v>332</v>
      </c>
      <c r="O10" s="110">
        <v>284</v>
      </c>
      <c r="P10" s="106"/>
      <c r="Q10" s="107"/>
    </row>
    <row r="11" spans="1:17" ht="10.5" customHeight="1">
      <c r="A11" s="90"/>
      <c r="B11" s="91"/>
      <c r="C11" s="95">
        <v>285</v>
      </c>
      <c r="D11" s="82" t="s">
        <v>276</v>
      </c>
      <c r="E11" s="84">
        <v>954</v>
      </c>
      <c r="F11" s="87">
        <v>725</v>
      </c>
      <c r="G11" s="87">
        <v>10935</v>
      </c>
      <c r="H11" s="87">
        <v>642</v>
      </c>
      <c r="I11" s="111">
        <v>10139</v>
      </c>
      <c r="J11" s="111">
        <v>724</v>
      </c>
      <c r="K11" s="111">
        <v>18826</v>
      </c>
      <c r="L11" s="111">
        <v>78827</v>
      </c>
      <c r="M11" s="113" t="s">
        <v>110</v>
      </c>
      <c r="N11" s="115" t="s">
        <v>333</v>
      </c>
      <c r="O11" s="110">
        <v>285</v>
      </c>
      <c r="P11" s="106"/>
      <c r="Q11" s="107"/>
    </row>
    <row r="12" spans="1:17" ht="10.5" customHeight="1">
      <c r="A12" s="90"/>
      <c r="B12" s="91"/>
      <c r="C12" s="95">
        <v>289</v>
      </c>
      <c r="D12" s="82" t="s">
        <v>277</v>
      </c>
      <c r="E12" s="84">
        <v>518</v>
      </c>
      <c r="F12" s="87">
        <v>8326</v>
      </c>
      <c r="G12" s="87">
        <v>20279</v>
      </c>
      <c r="H12" s="87">
        <v>9341</v>
      </c>
      <c r="I12" s="111">
        <v>21569</v>
      </c>
      <c r="J12" s="111">
        <v>9299</v>
      </c>
      <c r="K12" s="111">
        <v>22468</v>
      </c>
      <c r="L12" s="111">
        <v>169839</v>
      </c>
      <c r="M12" s="113" t="s">
        <v>110</v>
      </c>
      <c r="N12" s="115" t="s">
        <v>334</v>
      </c>
      <c r="O12" s="110">
        <v>289</v>
      </c>
      <c r="P12" s="106"/>
      <c r="Q12" s="107"/>
    </row>
    <row r="13" spans="1:17" ht="10.5" customHeight="1">
      <c r="A13" s="90"/>
      <c r="B13" s="94">
        <v>29</v>
      </c>
      <c r="C13" s="95"/>
      <c r="D13" s="82" t="s">
        <v>278</v>
      </c>
      <c r="E13" s="84">
        <v>15856</v>
      </c>
      <c r="F13" s="87">
        <v>11786</v>
      </c>
      <c r="G13" s="87">
        <v>140908</v>
      </c>
      <c r="H13" s="87">
        <v>11827</v>
      </c>
      <c r="I13" s="111">
        <v>129829</v>
      </c>
      <c r="J13" s="111">
        <v>11980</v>
      </c>
      <c r="K13" s="111">
        <v>155171</v>
      </c>
      <c r="L13" s="111">
        <v>877145</v>
      </c>
      <c r="M13" s="113" t="s">
        <v>110</v>
      </c>
      <c r="N13" s="115" t="s">
        <v>335</v>
      </c>
      <c r="O13" s="110"/>
      <c r="P13" s="109">
        <v>29</v>
      </c>
      <c r="Q13" s="107"/>
    </row>
    <row r="14" spans="1:17" ht="10.5" customHeight="1">
      <c r="A14" s="90"/>
      <c r="B14" s="91"/>
      <c r="C14" s="95">
        <v>291</v>
      </c>
      <c r="D14" s="82" t="s">
        <v>279</v>
      </c>
      <c r="E14" s="84">
        <v>3490</v>
      </c>
      <c r="F14" s="87">
        <v>3526</v>
      </c>
      <c r="G14" s="87">
        <v>32930</v>
      </c>
      <c r="H14" s="87">
        <v>3219</v>
      </c>
      <c r="I14" s="111">
        <v>25725</v>
      </c>
      <c r="J14" s="111">
        <v>4946</v>
      </c>
      <c r="K14" s="111">
        <v>29424</v>
      </c>
      <c r="L14" s="111">
        <v>184719</v>
      </c>
      <c r="M14" s="113" t="s">
        <v>110</v>
      </c>
      <c r="N14" s="115" t="s">
        <v>336</v>
      </c>
      <c r="O14" s="110">
        <v>291</v>
      </c>
      <c r="P14" s="106"/>
      <c r="Q14" s="107"/>
    </row>
    <row r="15" spans="1:17" ht="10.5" customHeight="1">
      <c r="A15" s="90"/>
      <c r="B15" s="91"/>
      <c r="C15" s="95">
        <v>292</v>
      </c>
      <c r="D15" s="82" t="s">
        <v>280</v>
      </c>
      <c r="E15" s="84">
        <v>6129</v>
      </c>
      <c r="F15" s="87">
        <v>5836</v>
      </c>
      <c r="G15" s="87">
        <v>49556</v>
      </c>
      <c r="H15" s="87">
        <v>6138</v>
      </c>
      <c r="I15" s="111">
        <v>47920</v>
      </c>
      <c r="J15" s="111">
        <v>4696</v>
      </c>
      <c r="K15" s="111">
        <v>58741</v>
      </c>
      <c r="L15" s="111">
        <v>326169</v>
      </c>
      <c r="M15" s="113" t="s">
        <v>110</v>
      </c>
      <c r="N15" s="115" t="s">
        <v>337</v>
      </c>
      <c r="O15" s="110">
        <v>292</v>
      </c>
      <c r="P15" s="106"/>
      <c r="Q15" s="107"/>
    </row>
    <row r="16" spans="1:17" ht="10.5" customHeight="1">
      <c r="A16" s="90"/>
      <c r="B16" s="91"/>
      <c r="C16" s="95">
        <v>293</v>
      </c>
      <c r="D16" s="82" t="s">
        <v>281</v>
      </c>
      <c r="E16" s="84">
        <v>6237</v>
      </c>
      <c r="F16" s="87">
        <v>2424</v>
      </c>
      <c r="G16" s="87">
        <v>58422</v>
      </c>
      <c r="H16" s="87">
        <v>2470</v>
      </c>
      <c r="I16" s="111">
        <v>56183</v>
      </c>
      <c r="J16" s="111">
        <v>2338</v>
      </c>
      <c r="K16" s="111">
        <v>67006</v>
      </c>
      <c r="L16" s="111">
        <v>366257</v>
      </c>
      <c r="M16" s="113" t="s">
        <v>110</v>
      </c>
      <c r="N16" s="115" t="s">
        <v>338</v>
      </c>
      <c r="O16" s="110">
        <v>293</v>
      </c>
      <c r="P16" s="106"/>
      <c r="Q16" s="107"/>
    </row>
    <row r="17" spans="1:17" ht="10.5" customHeight="1">
      <c r="A17" s="90"/>
      <c r="B17" s="94">
        <v>30</v>
      </c>
      <c r="C17" s="95"/>
      <c r="D17" s="82" t="s">
        <v>282</v>
      </c>
      <c r="E17" s="84">
        <v>2140</v>
      </c>
      <c r="F17" s="87">
        <v>4752</v>
      </c>
      <c r="G17" s="87">
        <v>113404</v>
      </c>
      <c r="H17" s="87">
        <v>5084</v>
      </c>
      <c r="I17" s="111">
        <v>110498</v>
      </c>
      <c r="J17" s="111">
        <v>5014</v>
      </c>
      <c r="K17" s="111">
        <v>136151</v>
      </c>
      <c r="L17" s="111">
        <v>721916</v>
      </c>
      <c r="M17" s="113" t="s">
        <v>110</v>
      </c>
      <c r="N17" s="115" t="s">
        <v>339</v>
      </c>
      <c r="O17" s="110"/>
      <c r="P17" s="109">
        <v>30</v>
      </c>
      <c r="Q17" s="107"/>
    </row>
    <row r="18" spans="1:17" ht="10.5" customHeight="1">
      <c r="A18" s="90"/>
      <c r="B18" s="91"/>
      <c r="C18" s="95">
        <v>301</v>
      </c>
      <c r="D18" s="82" t="s">
        <v>283</v>
      </c>
      <c r="E18" s="84">
        <v>94</v>
      </c>
      <c r="F18" s="87">
        <v>672</v>
      </c>
      <c r="G18" s="87">
        <v>40105</v>
      </c>
      <c r="H18" s="87">
        <v>736</v>
      </c>
      <c r="I18" s="111">
        <v>41387</v>
      </c>
      <c r="J18" s="111">
        <v>656</v>
      </c>
      <c r="K18" s="111">
        <v>49712</v>
      </c>
      <c r="L18" s="111">
        <v>259065</v>
      </c>
      <c r="M18" s="113" t="s">
        <v>110</v>
      </c>
      <c r="N18" s="115" t="s">
        <v>340</v>
      </c>
      <c r="O18" s="110">
        <v>301</v>
      </c>
      <c r="P18" s="106"/>
      <c r="Q18" s="107"/>
    </row>
    <row r="19" spans="1:17" ht="10.5" customHeight="1">
      <c r="A19" s="90"/>
      <c r="B19" s="91"/>
      <c r="C19" s="95">
        <v>302</v>
      </c>
      <c r="D19" s="82" t="s">
        <v>284</v>
      </c>
      <c r="E19" s="84">
        <v>252</v>
      </c>
      <c r="F19" s="87">
        <v>1</v>
      </c>
      <c r="G19" s="87">
        <v>37176</v>
      </c>
      <c r="H19" s="87">
        <v>0</v>
      </c>
      <c r="I19" s="111">
        <v>32286</v>
      </c>
      <c r="J19" s="117">
        <v>0</v>
      </c>
      <c r="K19" s="111">
        <v>42058</v>
      </c>
      <c r="L19" s="111">
        <v>215376</v>
      </c>
      <c r="M19" s="113" t="s">
        <v>110</v>
      </c>
      <c r="N19" s="115" t="s">
        <v>341</v>
      </c>
      <c r="O19" s="110">
        <v>302</v>
      </c>
      <c r="P19" s="106"/>
      <c r="Q19" s="107"/>
    </row>
    <row r="20" spans="1:17" ht="10.5" customHeight="1">
      <c r="A20" s="90"/>
      <c r="B20" s="91"/>
      <c r="C20" s="95">
        <v>303</v>
      </c>
      <c r="D20" s="82" t="s">
        <v>285</v>
      </c>
      <c r="E20" s="84">
        <v>1794</v>
      </c>
      <c r="F20" s="87">
        <v>4079</v>
      </c>
      <c r="G20" s="87">
        <v>36123</v>
      </c>
      <c r="H20" s="87">
        <v>4347</v>
      </c>
      <c r="I20" s="111">
        <v>36825</v>
      </c>
      <c r="J20" s="111">
        <v>4358</v>
      </c>
      <c r="K20" s="111">
        <v>44381</v>
      </c>
      <c r="L20" s="111">
        <v>247474</v>
      </c>
      <c r="M20" s="113" t="s">
        <v>110</v>
      </c>
      <c r="N20" s="115" t="s">
        <v>342</v>
      </c>
      <c r="O20" s="110">
        <v>303</v>
      </c>
      <c r="P20" s="106"/>
      <c r="Q20" s="107"/>
    </row>
    <row r="21" spans="1:17" ht="10.5" customHeight="1">
      <c r="A21" s="90"/>
      <c r="B21" s="94">
        <v>31</v>
      </c>
      <c r="C21" s="95"/>
      <c r="D21" s="82" t="s">
        <v>286</v>
      </c>
      <c r="E21" s="84">
        <v>2132</v>
      </c>
      <c r="F21" s="87">
        <v>8244</v>
      </c>
      <c r="G21" s="87">
        <v>56776</v>
      </c>
      <c r="H21" s="87">
        <v>6950</v>
      </c>
      <c r="I21" s="111">
        <v>46910</v>
      </c>
      <c r="J21" s="111">
        <v>10761</v>
      </c>
      <c r="K21" s="111">
        <v>57385</v>
      </c>
      <c r="L21" s="111">
        <v>368783</v>
      </c>
      <c r="M21" s="113" t="s">
        <v>110</v>
      </c>
      <c r="N21" s="115" t="s">
        <v>343</v>
      </c>
      <c r="O21" s="110"/>
      <c r="P21" s="109">
        <v>31</v>
      </c>
      <c r="Q21" s="107"/>
    </row>
    <row r="22" spans="1:17" ht="10.5" customHeight="1">
      <c r="A22" s="90"/>
      <c r="B22" s="91"/>
      <c r="C22" s="95">
        <v>311</v>
      </c>
      <c r="D22" s="82" t="s">
        <v>287</v>
      </c>
      <c r="E22" s="84">
        <v>252</v>
      </c>
      <c r="F22" s="87">
        <v>3291</v>
      </c>
      <c r="G22" s="87">
        <v>10458</v>
      </c>
      <c r="H22" s="87">
        <v>2100</v>
      </c>
      <c r="I22" s="111">
        <v>7431</v>
      </c>
      <c r="J22" s="111">
        <v>6496</v>
      </c>
      <c r="K22" s="111">
        <v>9209</v>
      </c>
      <c r="L22" s="111">
        <v>59330</v>
      </c>
      <c r="M22" s="113" t="s">
        <v>110</v>
      </c>
      <c r="N22" s="115" t="s">
        <v>344</v>
      </c>
      <c r="O22" s="110">
        <v>311</v>
      </c>
      <c r="P22" s="106"/>
      <c r="Q22" s="107"/>
    </row>
    <row r="23" spans="1:17" ht="10.5" customHeight="1">
      <c r="A23" s="90"/>
      <c r="B23" s="91"/>
      <c r="C23" s="95">
        <v>312</v>
      </c>
      <c r="D23" s="82" t="s">
        <v>288</v>
      </c>
      <c r="E23" s="84">
        <v>529</v>
      </c>
      <c r="F23" s="87">
        <v>714</v>
      </c>
      <c r="G23" s="87">
        <v>14320</v>
      </c>
      <c r="H23" s="87">
        <v>752</v>
      </c>
      <c r="I23" s="111">
        <v>13210</v>
      </c>
      <c r="J23" s="111">
        <v>608</v>
      </c>
      <c r="K23" s="111">
        <v>15386</v>
      </c>
      <c r="L23" s="111">
        <v>87196</v>
      </c>
      <c r="M23" s="113" t="s">
        <v>110</v>
      </c>
      <c r="N23" s="115" t="s">
        <v>345</v>
      </c>
      <c r="O23" s="110">
        <v>312</v>
      </c>
      <c r="P23" s="106"/>
      <c r="Q23" s="107"/>
    </row>
    <row r="24" spans="1:17" ht="10.5" customHeight="1">
      <c r="A24" s="90"/>
      <c r="B24" s="91"/>
      <c r="C24" s="95">
        <v>313</v>
      </c>
      <c r="D24" s="82" t="s">
        <v>289</v>
      </c>
      <c r="E24" s="84">
        <v>1010</v>
      </c>
      <c r="F24" s="87">
        <v>3986</v>
      </c>
      <c r="G24" s="87">
        <v>24296</v>
      </c>
      <c r="H24" s="87">
        <v>3840</v>
      </c>
      <c r="I24" s="111">
        <v>18955</v>
      </c>
      <c r="J24" s="111">
        <v>3371</v>
      </c>
      <c r="K24" s="111">
        <v>23490</v>
      </c>
      <c r="L24" s="111">
        <v>174910</v>
      </c>
      <c r="M24" s="113" t="s">
        <v>110</v>
      </c>
      <c r="N24" s="115" t="s">
        <v>346</v>
      </c>
      <c r="O24" s="110">
        <v>313</v>
      </c>
      <c r="P24" s="106"/>
      <c r="Q24" s="107"/>
    </row>
    <row r="25" spans="1:17" ht="20.100000000000001" customHeight="1">
      <c r="A25" s="90"/>
      <c r="B25" s="91"/>
      <c r="C25" s="95">
        <v>319</v>
      </c>
      <c r="D25" s="82" t="s">
        <v>290</v>
      </c>
      <c r="E25" s="84">
        <v>341</v>
      </c>
      <c r="F25" s="87">
        <v>254</v>
      </c>
      <c r="G25" s="87">
        <v>7701</v>
      </c>
      <c r="H25" s="87">
        <v>258</v>
      </c>
      <c r="I25" s="111">
        <v>7314</v>
      </c>
      <c r="J25" s="111">
        <v>285</v>
      </c>
      <c r="K25" s="111">
        <v>9301</v>
      </c>
      <c r="L25" s="111">
        <v>47347</v>
      </c>
      <c r="M25" s="113" t="s">
        <v>110</v>
      </c>
      <c r="N25" s="115" t="s">
        <v>347</v>
      </c>
      <c r="O25" s="110">
        <v>319</v>
      </c>
      <c r="P25" s="106"/>
      <c r="Q25" s="107"/>
    </row>
    <row r="26" spans="1:17" ht="10.5" customHeight="1">
      <c r="A26" s="90"/>
      <c r="B26" s="94">
        <v>32</v>
      </c>
      <c r="C26" s="95"/>
      <c r="D26" s="82" t="s">
        <v>291</v>
      </c>
      <c r="E26" s="84">
        <v>2228</v>
      </c>
      <c r="F26" s="87">
        <v>1613</v>
      </c>
      <c r="G26" s="87">
        <v>12080</v>
      </c>
      <c r="H26" s="87">
        <v>1589</v>
      </c>
      <c r="I26" s="111">
        <v>11337</v>
      </c>
      <c r="J26" s="111">
        <v>1747</v>
      </c>
      <c r="K26" s="111">
        <v>15927</v>
      </c>
      <c r="L26" s="111">
        <v>80817</v>
      </c>
      <c r="M26" s="113" t="s">
        <v>110</v>
      </c>
      <c r="N26" s="115" t="s">
        <v>348</v>
      </c>
      <c r="O26" s="110"/>
      <c r="P26" s="109">
        <v>32</v>
      </c>
      <c r="Q26" s="107"/>
    </row>
    <row r="27" spans="1:17" ht="10.5" customHeight="1">
      <c r="A27" s="90"/>
      <c r="B27" s="91"/>
      <c r="C27" s="95">
        <v>321</v>
      </c>
      <c r="D27" s="82" t="s">
        <v>292</v>
      </c>
      <c r="E27" s="84">
        <v>1568</v>
      </c>
      <c r="F27" s="87">
        <v>241</v>
      </c>
      <c r="G27" s="87">
        <v>5988</v>
      </c>
      <c r="H27" s="87">
        <v>169</v>
      </c>
      <c r="I27" s="111">
        <v>5694</v>
      </c>
      <c r="J27" s="111">
        <v>199</v>
      </c>
      <c r="K27" s="111">
        <v>6653</v>
      </c>
      <c r="L27" s="111">
        <v>35618</v>
      </c>
      <c r="M27" s="113" t="s">
        <v>110</v>
      </c>
      <c r="N27" s="115" t="s">
        <v>349</v>
      </c>
      <c r="O27" s="110">
        <v>321</v>
      </c>
      <c r="P27" s="106"/>
      <c r="Q27" s="107"/>
    </row>
    <row r="28" spans="1:17" ht="10.5" customHeight="1">
      <c r="A28" s="90"/>
      <c r="B28" s="91"/>
      <c r="C28" s="95">
        <v>322</v>
      </c>
      <c r="D28" s="82" t="s">
        <v>293</v>
      </c>
      <c r="E28" s="84">
        <v>660</v>
      </c>
      <c r="F28" s="87">
        <v>1372</v>
      </c>
      <c r="G28" s="87">
        <v>6091</v>
      </c>
      <c r="H28" s="87">
        <v>1420</v>
      </c>
      <c r="I28" s="111">
        <v>5643</v>
      </c>
      <c r="J28" s="111">
        <v>1548</v>
      </c>
      <c r="K28" s="111">
        <v>9274</v>
      </c>
      <c r="L28" s="111">
        <v>45200</v>
      </c>
      <c r="M28" s="113" t="s">
        <v>110</v>
      </c>
      <c r="N28" s="115" t="s">
        <v>350</v>
      </c>
      <c r="O28" s="110">
        <v>322</v>
      </c>
      <c r="P28" s="106"/>
      <c r="Q28" s="107"/>
    </row>
    <row r="29" spans="1:17" ht="10.5" customHeight="1">
      <c r="A29" s="90"/>
      <c r="B29" s="94">
        <v>33</v>
      </c>
      <c r="C29" s="95"/>
      <c r="D29" s="82" t="s">
        <v>294</v>
      </c>
      <c r="E29" s="84">
        <v>3951</v>
      </c>
      <c r="F29" s="87">
        <v>3684</v>
      </c>
      <c r="G29" s="87">
        <v>48490</v>
      </c>
      <c r="H29" s="87">
        <v>3871</v>
      </c>
      <c r="I29" s="111">
        <v>43795</v>
      </c>
      <c r="J29" s="111">
        <v>4567</v>
      </c>
      <c r="K29" s="111">
        <v>41970</v>
      </c>
      <c r="L29" s="111">
        <v>255014</v>
      </c>
      <c r="M29" s="113" t="s">
        <v>110</v>
      </c>
      <c r="N29" s="115" t="s">
        <v>351</v>
      </c>
      <c r="O29" s="110"/>
      <c r="P29" s="109">
        <v>33</v>
      </c>
      <c r="Q29" s="107"/>
    </row>
    <row r="30" spans="1:17" ht="10.5" customHeight="1">
      <c r="A30" s="90"/>
      <c r="B30" s="91"/>
      <c r="C30" s="95">
        <v>331</v>
      </c>
      <c r="D30" s="82" t="s">
        <v>295</v>
      </c>
      <c r="E30" s="84">
        <v>1182</v>
      </c>
      <c r="F30" s="87">
        <v>1758</v>
      </c>
      <c r="G30" s="87">
        <v>8959</v>
      </c>
      <c r="H30" s="87">
        <v>1758</v>
      </c>
      <c r="I30" s="111">
        <v>7990</v>
      </c>
      <c r="J30" s="111">
        <v>1750</v>
      </c>
      <c r="K30" s="111">
        <v>8580</v>
      </c>
      <c r="L30" s="111">
        <v>62600</v>
      </c>
      <c r="M30" s="113" t="s">
        <v>110</v>
      </c>
      <c r="N30" s="115" t="s">
        <v>352</v>
      </c>
      <c r="O30" s="110">
        <v>331</v>
      </c>
      <c r="P30" s="106"/>
      <c r="Q30" s="107"/>
    </row>
    <row r="31" spans="1:17" ht="10.5" customHeight="1">
      <c r="A31" s="90"/>
      <c r="B31" s="91"/>
      <c r="C31" s="95">
        <v>332</v>
      </c>
      <c r="D31" s="82" t="s">
        <v>296</v>
      </c>
      <c r="E31" s="84">
        <v>818</v>
      </c>
      <c r="F31" s="87">
        <v>1431</v>
      </c>
      <c r="G31" s="87">
        <v>13524</v>
      </c>
      <c r="H31" s="87">
        <v>1543</v>
      </c>
      <c r="I31" s="111">
        <v>12716</v>
      </c>
      <c r="J31" s="111">
        <v>2339</v>
      </c>
      <c r="K31" s="111">
        <v>14511</v>
      </c>
      <c r="L31" s="111">
        <v>91303</v>
      </c>
      <c r="M31" s="113" t="s">
        <v>110</v>
      </c>
      <c r="N31" s="115" t="s">
        <v>353</v>
      </c>
      <c r="O31" s="110">
        <v>332</v>
      </c>
      <c r="P31" s="106"/>
      <c r="Q31" s="107"/>
    </row>
    <row r="32" spans="1:17" ht="10.5" customHeight="1">
      <c r="A32" s="90"/>
      <c r="B32" s="91"/>
      <c r="C32" s="95">
        <v>339</v>
      </c>
      <c r="D32" s="82" t="s">
        <v>297</v>
      </c>
      <c r="E32" s="84">
        <v>1951</v>
      </c>
      <c r="F32" s="87">
        <v>495</v>
      </c>
      <c r="G32" s="87">
        <v>26007</v>
      </c>
      <c r="H32" s="87">
        <v>570</v>
      </c>
      <c r="I32" s="111">
        <v>23089</v>
      </c>
      <c r="J32" s="111">
        <v>478</v>
      </c>
      <c r="K32" s="111">
        <v>18879</v>
      </c>
      <c r="L32" s="111">
        <v>101111</v>
      </c>
      <c r="M32" s="113" t="s">
        <v>110</v>
      </c>
      <c r="N32" s="115" t="s">
        <v>354</v>
      </c>
      <c r="O32" s="110">
        <v>339</v>
      </c>
      <c r="P32" s="106"/>
      <c r="Q32" s="107"/>
    </row>
    <row r="33" spans="1:17" ht="10.5" customHeight="1">
      <c r="A33" s="90"/>
      <c r="B33" s="94">
        <v>34</v>
      </c>
      <c r="C33" s="95"/>
      <c r="D33" s="82" t="s">
        <v>298</v>
      </c>
      <c r="E33" s="84">
        <v>7016</v>
      </c>
      <c r="F33" s="87">
        <v>1645</v>
      </c>
      <c r="G33" s="87">
        <v>44499</v>
      </c>
      <c r="H33" s="87">
        <v>7329</v>
      </c>
      <c r="I33" s="111">
        <v>40000</v>
      </c>
      <c r="J33" s="111">
        <v>1807</v>
      </c>
      <c r="K33" s="111">
        <v>53740</v>
      </c>
      <c r="L33" s="111">
        <v>302317</v>
      </c>
      <c r="M33" s="113" t="s">
        <v>110</v>
      </c>
      <c r="N33" s="115" t="s">
        <v>355</v>
      </c>
      <c r="O33" s="110"/>
      <c r="P33" s="109">
        <v>34</v>
      </c>
      <c r="Q33" s="107"/>
    </row>
    <row r="34" spans="1:17" ht="20.100000000000001" customHeight="1">
      <c r="A34" s="90"/>
      <c r="B34" s="91"/>
      <c r="C34" s="95">
        <v>340</v>
      </c>
      <c r="D34" s="82" t="s">
        <v>299</v>
      </c>
      <c r="E34" s="84">
        <v>7016</v>
      </c>
      <c r="F34" s="87">
        <v>1645</v>
      </c>
      <c r="G34" s="87">
        <v>44499</v>
      </c>
      <c r="H34" s="87">
        <v>7329</v>
      </c>
      <c r="I34" s="111">
        <v>40000</v>
      </c>
      <c r="J34" s="111">
        <v>1807</v>
      </c>
      <c r="K34" s="111">
        <v>53740</v>
      </c>
      <c r="L34" s="111">
        <v>302317</v>
      </c>
      <c r="M34" s="113" t="s">
        <v>110</v>
      </c>
      <c r="N34" s="115" t="s">
        <v>356</v>
      </c>
      <c r="O34" s="110">
        <v>340</v>
      </c>
      <c r="P34" s="106"/>
      <c r="Q34" s="107"/>
    </row>
    <row r="35" spans="1:17" ht="14.1" customHeight="1">
      <c r="A35" s="93" t="s">
        <v>325</v>
      </c>
      <c r="B35" s="91"/>
      <c r="C35" s="95"/>
      <c r="D35" s="83" t="s">
        <v>300</v>
      </c>
      <c r="E35" s="85">
        <v>3091</v>
      </c>
      <c r="F35" s="88">
        <v>293</v>
      </c>
      <c r="G35" s="88">
        <v>303786</v>
      </c>
      <c r="H35" s="88">
        <v>101</v>
      </c>
      <c r="I35" s="112">
        <v>299062</v>
      </c>
      <c r="J35" s="112">
        <v>88</v>
      </c>
      <c r="K35" s="112">
        <v>277413</v>
      </c>
      <c r="L35" s="112">
        <v>1505305</v>
      </c>
      <c r="M35" s="114" t="s">
        <v>110</v>
      </c>
      <c r="N35" s="116" t="s">
        <v>357</v>
      </c>
      <c r="O35" s="110"/>
      <c r="P35" s="106"/>
      <c r="Q35" s="108" t="s">
        <v>325</v>
      </c>
    </row>
    <row r="36" spans="1:17" ht="10.5" customHeight="1">
      <c r="A36" s="90"/>
      <c r="B36" s="94">
        <v>35</v>
      </c>
      <c r="C36" s="95"/>
      <c r="D36" s="82" t="s">
        <v>301</v>
      </c>
      <c r="E36" s="84">
        <v>3091</v>
      </c>
      <c r="F36" s="87">
        <v>293</v>
      </c>
      <c r="G36" s="87">
        <v>303786</v>
      </c>
      <c r="H36" s="87">
        <v>101</v>
      </c>
      <c r="I36" s="111">
        <v>299062</v>
      </c>
      <c r="J36" s="111">
        <v>88</v>
      </c>
      <c r="K36" s="111">
        <v>277413</v>
      </c>
      <c r="L36" s="111">
        <v>1505305</v>
      </c>
      <c r="M36" s="113" t="s">
        <v>110</v>
      </c>
      <c r="N36" s="115" t="s">
        <v>358</v>
      </c>
      <c r="O36" s="110"/>
      <c r="P36" s="109">
        <v>35</v>
      </c>
      <c r="Q36" s="107"/>
    </row>
    <row r="37" spans="1:17" ht="10.5" customHeight="1">
      <c r="A37" s="90"/>
      <c r="B37" s="91"/>
      <c r="C37" s="95">
        <v>351</v>
      </c>
      <c r="D37" s="82" t="s">
        <v>302</v>
      </c>
      <c r="E37" s="84">
        <v>2583</v>
      </c>
      <c r="F37" s="87">
        <v>207</v>
      </c>
      <c r="G37" s="87">
        <v>248468</v>
      </c>
      <c r="H37" s="87">
        <v>20</v>
      </c>
      <c r="I37" s="111">
        <v>245295</v>
      </c>
      <c r="J37" s="111">
        <v>14</v>
      </c>
      <c r="K37" s="111">
        <v>225002</v>
      </c>
      <c r="L37" s="111">
        <v>1169712</v>
      </c>
      <c r="M37" s="113" t="s">
        <v>110</v>
      </c>
      <c r="N37" s="115" t="s">
        <v>359</v>
      </c>
      <c r="O37" s="110">
        <v>351</v>
      </c>
      <c r="P37" s="106"/>
      <c r="Q37" s="107"/>
    </row>
    <row r="38" spans="1:17" ht="10.5" customHeight="1">
      <c r="A38" s="90"/>
      <c r="B38" s="91"/>
      <c r="C38" s="95">
        <v>352</v>
      </c>
      <c r="D38" s="82" t="s">
        <v>303</v>
      </c>
      <c r="E38" s="84">
        <v>174</v>
      </c>
      <c r="F38" s="87">
        <v>87</v>
      </c>
      <c r="G38" s="87">
        <v>53063</v>
      </c>
      <c r="H38" s="87">
        <v>81</v>
      </c>
      <c r="I38" s="111">
        <v>51569</v>
      </c>
      <c r="J38" s="111">
        <v>74</v>
      </c>
      <c r="K38" s="111">
        <v>50498</v>
      </c>
      <c r="L38" s="111">
        <v>323221</v>
      </c>
      <c r="M38" s="113" t="s">
        <v>110</v>
      </c>
      <c r="N38" s="115" t="s">
        <v>360</v>
      </c>
      <c r="O38" s="110">
        <v>352</v>
      </c>
      <c r="P38" s="106"/>
      <c r="Q38" s="107"/>
    </row>
    <row r="39" spans="1:17" ht="10.5" customHeight="1">
      <c r="A39" s="90"/>
      <c r="B39" s="91"/>
      <c r="C39" s="95">
        <v>353</v>
      </c>
      <c r="D39" s="82" t="s">
        <v>304</v>
      </c>
      <c r="E39" s="84">
        <v>334</v>
      </c>
      <c r="F39" s="87">
        <v>0</v>
      </c>
      <c r="G39" s="87">
        <v>2255</v>
      </c>
      <c r="H39" s="87">
        <v>0</v>
      </c>
      <c r="I39" s="111">
        <v>2198</v>
      </c>
      <c r="J39" s="111">
        <v>0</v>
      </c>
      <c r="K39" s="111">
        <v>1914</v>
      </c>
      <c r="L39" s="111">
        <v>12372</v>
      </c>
      <c r="M39" s="113" t="s">
        <v>110</v>
      </c>
      <c r="N39" s="115" t="s">
        <v>361</v>
      </c>
      <c r="O39" s="110">
        <v>353</v>
      </c>
      <c r="P39" s="106"/>
      <c r="Q39" s="107"/>
    </row>
    <row r="40" spans="1:17" ht="14.1" customHeight="1">
      <c r="A40" s="93" t="s">
        <v>326</v>
      </c>
      <c r="B40" s="91"/>
      <c r="C40" s="95"/>
      <c r="D40" s="83" t="s">
        <v>305</v>
      </c>
      <c r="E40" s="85">
        <v>8324</v>
      </c>
      <c r="F40" s="88">
        <v>204</v>
      </c>
      <c r="G40" s="88">
        <v>42002</v>
      </c>
      <c r="H40" s="88">
        <v>215</v>
      </c>
      <c r="I40" s="112">
        <v>40441</v>
      </c>
      <c r="J40" s="112">
        <v>178</v>
      </c>
      <c r="K40" s="112">
        <v>45556</v>
      </c>
      <c r="L40" s="112">
        <v>248113</v>
      </c>
      <c r="M40" s="114" t="s">
        <v>110</v>
      </c>
      <c r="N40" s="116" t="s">
        <v>362</v>
      </c>
      <c r="O40" s="110"/>
      <c r="P40" s="106"/>
      <c r="Q40" s="108" t="s">
        <v>326</v>
      </c>
    </row>
    <row r="41" spans="1:17" ht="10.5" customHeight="1">
      <c r="A41" s="90"/>
      <c r="B41" s="94">
        <v>36</v>
      </c>
      <c r="C41" s="95"/>
      <c r="D41" s="82" t="s">
        <v>306</v>
      </c>
      <c r="E41" s="84">
        <v>218</v>
      </c>
      <c r="F41" s="87">
        <v>2</v>
      </c>
      <c r="G41" s="87">
        <v>7194</v>
      </c>
      <c r="H41" s="87">
        <v>2</v>
      </c>
      <c r="I41" s="111">
        <v>7053</v>
      </c>
      <c r="J41" s="111">
        <v>2</v>
      </c>
      <c r="K41" s="111">
        <v>7286</v>
      </c>
      <c r="L41" s="111">
        <v>42131</v>
      </c>
      <c r="M41" s="113" t="s">
        <v>110</v>
      </c>
      <c r="N41" s="115" t="s">
        <v>363</v>
      </c>
      <c r="O41" s="110"/>
      <c r="P41" s="109">
        <v>36</v>
      </c>
      <c r="Q41" s="107"/>
    </row>
    <row r="42" spans="1:17" ht="10.5" customHeight="1">
      <c r="A42" s="90"/>
      <c r="B42" s="91"/>
      <c r="C42" s="95">
        <v>360</v>
      </c>
      <c r="D42" s="82" t="s">
        <v>307</v>
      </c>
      <c r="E42" s="84">
        <v>218</v>
      </c>
      <c r="F42" s="87">
        <v>2</v>
      </c>
      <c r="G42" s="87">
        <v>7194</v>
      </c>
      <c r="H42" s="87">
        <v>2</v>
      </c>
      <c r="I42" s="111">
        <v>7053</v>
      </c>
      <c r="J42" s="111">
        <v>2</v>
      </c>
      <c r="K42" s="111">
        <v>7286</v>
      </c>
      <c r="L42" s="111">
        <v>42131</v>
      </c>
      <c r="M42" s="113" t="s">
        <v>110</v>
      </c>
      <c r="N42" s="115" t="s">
        <v>364</v>
      </c>
      <c r="O42" s="110">
        <v>360</v>
      </c>
      <c r="P42" s="106"/>
      <c r="Q42" s="107"/>
    </row>
    <row r="43" spans="1:17" ht="10.5" customHeight="1">
      <c r="A43" s="90"/>
      <c r="B43" s="94">
        <v>37</v>
      </c>
      <c r="C43" s="95"/>
      <c r="D43" s="82" t="s">
        <v>308</v>
      </c>
      <c r="E43" s="84">
        <v>590</v>
      </c>
      <c r="F43" s="87">
        <v>5</v>
      </c>
      <c r="G43" s="87">
        <v>2995</v>
      </c>
      <c r="H43" s="87">
        <v>5</v>
      </c>
      <c r="I43" s="111">
        <v>3194</v>
      </c>
      <c r="J43" s="111">
        <v>8</v>
      </c>
      <c r="K43" s="111">
        <v>4240</v>
      </c>
      <c r="L43" s="111">
        <v>19495</v>
      </c>
      <c r="M43" s="113" t="s">
        <v>110</v>
      </c>
      <c r="N43" s="115" t="s">
        <v>365</v>
      </c>
      <c r="O43" s="110"/>
      <c r="P43" s="109">
        <v>37</v>
      </c>
      <c r="Q43" s="107"/>
    </row>
    <row r="44" spans="1:17" ht="10.5" customHeight="1">
      <c r="A44" s="90"/>
      <c r="B44" s="91"/>
      <c r="C44" s="95">
        <v>370</v>
      </c>
      <c r="D44" s="82" t="s">
        <v>309</v>
      </c>
      <c r="E44" s="84">
        <v>590</v>
      </c>
      <c r="F44" s="87">
        <v>5</v>
      </c>
      <c r="G44" s="87">
        <v>2995</v>
      </c>
      <c r="H44" s="87">
        <v>5</v>
      </c>
      <c r="I44" s="111">
        <v>3194</v>
      </c>
      <c r="J44" s="111">
        <v>8</v>
      </c>
      <c r="K44" s="111">
        <v>4240</v>
      </c>
      <c r="L44" s="111">
        <v>19495</v>
      </c>
      <c r="M44" s="113" t="s">
        <v>110</v>
      </c>
      <c r="N44" s="115" t="s">
        <v>366</v>
      </c>
      <c r="O44" s="110">
        <v>370</v>
      </c>
      <c r="P44" s="106"/>
      <c r="Q44" s="107"/>
    </row>
    <row r="45" spans="1:17" ht="20.100000000000001" customHeight="1">
      <c r="A45" s="90"/>
      <c r="B45" s="94">
        <v>38</v>
      </c>
      <c r="C45" s="95"/>
      <c r="D45" s="82" t="s">
        <v>310</v>
      </c>
      <c r="E45" s="84">
        <v>7279</v>
      </c>
      <c r="F45" s="87">
        <v>195</v>
      </c>
      <c r="G45" s="87">
        <v>28337</v>
      </c>
      <c r="H45" s="87">
        <v>206</v>
      </c>
      <c r="I45" s="111">
        <v>27737</v>
      </c>
      <c r="J45" s="111">
        <v>167</v>
      </c>
      <c r="K45" s="111">
        <v>31569</v>
      </c>
      <c r="L45" s="111">
        <v>170931</v>
      </c>
      <c r="M45" s="113" t="s">
        <v>110</v>
      </c>
      <c r="N45" s="115" t="s">
        <v>367</v>
      </c>
      <c r="O45" s="110"/>
      <c r="P45" s="109">
        <v>38</v>
      </c>
      <c r="Q45" s="107"/>
    </row>
    <row r="46" spans="1:17" ht="10.5" customHeight="1">
      <c r="A46" s="90"/>
      <c r="B46" s="91"/>
      <c r="C46" s="95">
        <v>381</v>
      </c>
      <c r="D46" s="82" t="s">
        <v>311</v>
      </c>
      <c r="E46" s="84">
        <v>4048</v>
      </c>
      <c r="F46" s="87">
        <v>42</v>
      </c>
      <c r="G46" s="87">
        <v>14196</v>
      </c>
      <c r="H46" s="87">
        <v>40</v>
      </c>
      <c r="I46" s="111">
        <v>14361</v>
      </c>
      <c r="J46" s="111">
        <v>64</v>
      </c>
      <c r="K46" s="111">
        <v>15921</v>
      </c>
      <c r="L46" s="111">
        <v>87358</v>
      </c>
      <c r="M46" s="113" t="s">
        <v>110</v>
      </c>
      <c r="N46" s="115" t="s">
        <v>368</v>
      </c>
      <c r="O46" s="110">
        <v>381</v>
      </c>
      <c r="P46" s="106"/>
      <c r="Q46" s="107"/>
    </row>
    <row r="47" spans="1:17" ht="10.5" customHeight="1">
      <c r="A47" s="90"/>
      <c r="B47" s="91"/>
      <c r="C47" s="95">
        <v>382</v>
      </c>
      <c r="D47" s="82" t="s">
        <v>312</v>
      </c>
      <c r="E47" s="84">
        <v>1513</v>
      </c>
      <c r="F47" s="87">
        <v>60</v>
      </c>
      <c r="G47" s="87">
        <v>8117</v>
      </c>
      <c r="H47" s="87">
        <v>32</v>
      </c>
      <c r="I47" s="111">
        <v>7703</v>
      </c>
      <c r="J47" s="111">
        <v>25</v>
      </c>
      <c r="K47" s="111">
        <v>8262</v>
      </c>
      <c r="L47" s="111">
        <v>46458</v>
      </c>
      <c r="M47" s="113" t="s">
        <v>110</v>
      </c>
      <c r="N47" s="115" t="s">
        <v>369</v>
      </c>
      <c r="O47" s="110">
        <v>382</v>
      </c>
      <c r="P47" s="106"/>
      <c r="Q47" s="107"/>
    </row>
    <row r="48" spans="1:17" ht="10.5" customHeight="1">
      <c r="A48" s="90"/>
      <c r="B48" s="91"/>
      <c r="C48" s="95">
        <v>383</v>
      </c>
      <c r="D48" s="82" t="s">
        <v>313</v>
      </c>
      <c r="E48" s="84">
        <v>1718</v>
      </c>
      <c r="F48" s="87">
        <v>93</v>
      </c>
      <c r="G48" s="87">
        <v>6024</v>
      </c>
      <c r="H48" s="87">
        <v>134</v>
      </c>
      <c r="I48" s="111">
        <v>5672</v>
      </c>
      <c r="J48" s="111">
        <v>78</v>
      </c>
      <c r="K48" s="111">
        <v>7386</v>
      </c>
      <c r="L48" s="111">
        <v>37114</v>
      </c>
      <c r="M48" s="113" t="s">
        <v>110</v>
      </c>
      <c r="N48" s="115" t="s">
        <v>370</v>
      </c>
      <c r="O48" s="110">
        <v>383</v>
      </c>
      <c r="P48" s="106"/>
      <c r="Q48" s="107"/>
    </row>
    <row r="49" spans="1:17" ht="10.5" customHeight="1">
      <c r="A49" s="90"/>
      <c r="B49" s="94">
        <v>39</v>
      </c>
      <c r="C49" s="95"/>
      <c r="D49" s="82" t="s">
        <v>314</v>
      </c>
      <c r="E49" s="84">
        <v>237</v>
      </c>
      <c r="F49" s="87">
        <v>2</v>
      </c>
      <c r="G49" s="87">
        <v>3476</v>
      </c>
      <c r="H49" s="87">
        <v>2</v>
      </c>
      <c r="I49" s="111">
        <v>2458</v>
      </c>
      <c r="J49" s="111">
        <v>2</v>
      </c>
      <c r="K49" s="111">
        <v>2460</v>
      </c>
      <c r="L49" s="111">
        <v>15557</v>
      </c>
      <c r="M49" s="113" t="s">
        <v>110</v>
      </c>
      <c r="N49" s="115" t="s">
        <v>371</v>
      </c>
      <c r="O49" s="110"/>
      <c r="P49" s="109">
        <v>39</v>
      </c>
      <c r="Q49" s="107"/>
    </row>
    <row r="50" spans="1:17" ht="20.100000000000001" customHeight="1">
      <c r="A50" s="90"/>
      <c r="B50" s="91"/>
      <c r="C50" s="95">
        <v>390</v>
      </c>
      <c r="D50" s="82" t="s">
        <v>315</v>
      </c>
      <c r="E50" s="84">
        <v>237</v>
      </c>
      <c r="F50" s="87">
        <v>2</v>
      </c>
      <c r="G50" s="87">
        <v>3476</v>
      </c>
      <c r="H50" s="87">
        <v>2</v>
      </c>
      <c r="I50" s="111">
        <v>2458</v>
      </c>
      <c r="J50" s="111">
        <v>2</v>
      </c>
      <c r="K50" s="111">
        <v>2460</v>
      </c>
      <c r="L50" s="111">
        <v>15557</v>
      </c>
      <c r="M50" s="113" t="s">
        <v>110</v>
      </c>
      <c r="N50" s="115" t="s">
        <v>372</v>
      </c>
      <c r="O50" s="110">
        <v>390</v>
      </c>
      <c r="P50" s="106"/>
      <c r="Q50" s="107"/>
    </row>
    <row r="51" spans="1:17" ht="14.1" customHeight="1">
      <c r="A51" s="93" t="s">
        <v>327</v>
      </c>
      <c r="B51" s="91"/>
      <c r="C51" s="95"/>
      <c r="D51" s="83" t="s">
        <v>316</v>
      </c>
      <c r="E51" s="85">
        <v>158021</v>
      </c>
      <c r="F51" s="88">
        <v>1975</v>
      </c>
      <c r="G51" s="88">
        <v>641913</v>
      </c>
      <c r="H51" s="88">
        <v>1510</v>
      </c>
      <c r="I51" s="112">
        <v>638863</v>
      </c>
      <c r="J51" s="112">
        <v>1902</v>
      </c>
      <c r="K51" s="112">
        <v>786649</v>
      </c>
      <c r="L51" s="112">
        <v>3875435</v>
      </c>
      <c r="M51" s="114" t="s">
        <v>110</v>
      </c>
      <c r="N51" s="116" t="s">
        <v>373</v>
      </c>
      <c r="O51" s="110"/>
      <c r="P51" s="106"/>
      <c r="Q51" s="108" t="s">
        <v>327</v>
      </c>
    </row>
    <row r="52" spans="1:17" ht="10.5" customHeight="1">
      <c r="A52" s="90"/>
      <c r="B52" s="94">
        <v>41</v>
      </c>
      <c r="C52" s="95"/>
      <c r="D52" s="82" t="s">
        <v>317</v>
      </c>
      <c r="E52" s="84">
        <v>8819</v>
      </c>
      <c r="F52" s="87">
        <v>75</v>
      </c>
      <c r="G52" s="87">
        <v>96921</v>
      </c>
      <c r="H52" s="87">
        <v>67</v>
      </c>
      <c r="I52" s="111">
        <v>96252</v>
      </c>
      <c r="J52" s="111">
        <v>58</v>
      </c>
      <c r="K52" s="111">
        <v>130182</v>
      </c>
      <c r="L52" s="111">
        <v>596185</v>
      </c>
      <c r="M52" s="113" t="s">
        <v>110</v>
      </c>
      <c r="N52" s="115" t="s">
        <v>374</v>
      </c>
      <c r="O52" s="110"/>
      <c r="P52" s="109">
        <v>41</v>
      </c>
      <c r="Q52" s="107"/>
    </row>
    <row r="53" spans="1:17" ht="10.5" customHeight="1">
      <c r="A53" s="90"/>
      <c r="B53" s="91"/>
      <c r="C53" s="95">
        <v>410</v>
      </c>
      <c r="D53" s="82" t="s">
        <v>318</v>
      </c>
      <c r="E53" s="84">
        <v>8819</v>
      </c>
      <c r="F53" s="87">
        <v>75</v>
      </c>
      <c r="G53" s="87">
        <v>96921</v>
      </c>
      <c r="H53" s="87">
        <v>67</v>
      </c>
      <c r="I53" s="111">
        <v>96252</v>
      </c>
      <c r="J53" s="111">
        <v>58</v>
      </c>
      <c r="K53" s="111">
        <v>130182</v>
      </c>
      <c r="L53" s="111">
        <v>596185</v>
      </c>
      <c r="M53" s="113" t="s">
        <v>110</v>
      </c>
      <c r="N53" s="115" t="s">
        <v>375</v>
      </c>
      <c r="O53" s="110">
        <v>410</v>
      </c>
      <c r="P53" s="106"/>
      <c r="Q53" s="107"/>
    </row>
    <row r="54" spans="1:17" ht="10.5" customHeight="1">
      <c r="A54" s="90"/>
      <c r="B54" s="94">
        <v>42</v>
      </c>
      <c r="C54" s="95"/>
      <c r="D54" s="82" t="s">
        <v>319</v>
      </c>
      <c r="E54" s="84">
        <v>17300</v>
      </c>
      <c r="F54" s="87">
        <v>145</v>
      </c>
      <c r="G54" s="87">
        <v>153485</v>
      </c>
      <c r="H54" s="87">
        <v>205</v>
      </c>
      <c r="I54" s="111">
        <v>146742</v>
      </c>
      <c r="J54" s="111">
        <v>102</v>
      </c>
      <c r="K54" s="111">
        <v>191804</v>
      </c>
      <c r="L54" s="111">
        <v>930785</v>
      </c>
      <c r="M54" s="113" t="s">
        <v>110</v>
      </c>
      <c r="N54" s="115" t="s">
        <v>376</v>
      </c>
      <c r="O54" s="110"/>
      <c r="P54" s="109">
        <v>42</v>
      </c>
      <c r="Q54" s="107"/>
    </row>
    <row r="55" spans="1:17" ht="10.5" customHeight="1">
      <c r="A55" s="90"/>
      <c r="B55" s="91"/>
      <c r="C55" s="95">
        <v>421</v>
      </c>
      <c r="D55" s="82" t="s">
        <v>320</v>
      </c>
      <c r="E55" s="84">
        <v>1200</v>
      </c>
      <c r="F55" s="87">
        <v>0</v>
      </c>
      <c r="G55" s="87">
        <v>9245</v>
      </c>
      <c r="H55" s="87">
        <v>0</v>
      </c>
      <c r="I55" s="111">
        <v>9196</v>
      </c>
      <c r="J55" s="119">
        <v>0</v>
      </c>
      <c r="K55" s="111">
        <v>11862</v>
      </c>
      <c r="L55" s="111">
        <v>53405</v>
      </c>
      <c r="M55" s="113" t="s">
        <v>110</v>
      </c>
      <c r="N55" s="115" t="s">
        <v>377</v>
      </c>
      <c r="O55" s="110">
        <v>421</v>
      </c>
      <c r="P55" s="106"/>
      <c r="Q55" s="107"/>
    </row>
    <row r="56" spans="1:17" ht="10.5" customHeight="1">
      <c r="A56" s="90"/>
      <c r="B56" s="91"/>
      <c r="C56" s="95">
        <v>422</v>
      </c>
      <c r="D56" s="82" t="s">
        <v>321</v>
      </c>
      <c r="E56" s="84">
        <v>2891</v>
      </c>
      <c r="F56" s="87">
        <v>76</v>
      </c>
      <c r="G56" s="87">
        <v>27432</v>
      </c>
      <c r="H56" s="87">
        <v>7</v>
      </c>
      <c r="I56" s="111">
        <v>26028</v>
      </c>
      <c r="J56" s="111">
        <v>2</v>
      </c>
      <c r="K56" s="111">
        <v>33562</v>
      </c>
      <c r="L56" s="111">
        <v>162071</v>
      </c>
      <c r="M56" s="113" t="s">
        <v>110</v>
      </c>
      <c r="N56" s="115" t="s">
        <v>378</v>
      </c>
      <c r="O56" s="110">
        <v>422</v>
      </c>
      <c r="P56" s="106"/>
      <c r="Q56" s="107"/>
    </row>
    <row r="57" spans="1:17" ht="10.5" customHeight="1">
      <c r="A57" s="90"/>
      <c r="B57" s="91"/>
      <c r="C57" s="95">
        <v>429</v>
      </c>
      <c r="D57" s="82" t="s">
        <v>322</v>
      </c>
      <c r="E57" s="84">
        <v>13209</v>
      </c>
      <c r="F57" s="87">
        <v>68</v>
      </c>
      <c r="G57" s="87">
        <v>116808</v>
      </c>
      <c r="H57" s="87">
        <v>198</v>
      </c>
      <c r="I57" s="111">
        <v>111518</v>
      </c>
      <c r="J57" s="111">
        <v>100</v>
      </c>
      <c r="K57" s="111">
        <v>146380</v>
      </c>
      <c r="L57" s="111">
        <v>715309</v>
      </c>
      <c r="M57" s="113" t="s">
        <v>110</v>
      </c>
      <c r="N57" s="115" t="s">
        <v>379</v>
      </c>
      <c r="O57" s="110">
        <v>429</v>
      </c>
      <c r="P57" s="106"/>
      <c r="Q57" s="107"/>
    </row>
    <row r="58" spans="1:17" ht="10.5" customHeight="1">
      <c r="A58" s="90"/>
      <c r="B58" s="94">
        <v>43</v>
      </c>
      <c r="C58" s="95"/>
      <c r="D58" s="82" t="s">
        <v>323</v>
      </c>
      <c r="E58" s="84">
        <v>131902</v>
      </c>
      <c r="F58" s="87">
        <v>1755</v>
      </c>
      <c r="G58" s="87">
        <v>391507</v>
      </c>
      <c r="H58" s="87">
        <v>1238</v>
      </c>
      <c r="I58" s="111">
        <v>395870</v>
      </c>
      <c r="J58" s="111">
        <v>1743</v>
      </c>
      <c r="K58" s="111">
        <v>464663</v>
      </c>
      <c r="L58" s="111">
        <v>2348466</v>
      </c>
      <c r="M58" s="113" t="s">
        <v>110</v>
      </c>
      <c r="N58" s="115" t="s">
        <v>380</v>
      </c>
      <c r="O58" s="110"/>
      <c r="P58" s="109">
        <v>43</v>
      </c>
      <c r="Q58" s="107"/>
    </row>
    <row r="59" spans="1:17" ht="10.5" customHeight="1">
      <c r="A59" s="90"/>
      <c r="B59" s="91"/>
      <c r="C59" s="95">
        <v>431</v>
      </c>
      <c r="D59" s="82" t="s">
        <v>324</v>
      </c>
      <c r="E59" s="84">
        <v>6840</v>
      </c>
      <c r="F59" s="87">
        <v>186</v>
      </c>
      <c r="G59" s="87">
        <v>26573</v>
      </c>
      <c r="H59" s="87">
        <v>105</v>
      </c>
      <c r="I59" s="111">
        <v>23753</v>
      </c>
      <c r="J59" s="111">
        <v>7</v>
      </c>
      <c r="K59" s="111">
        <v>26979</v>
      </c>
      <c r="L59" s="111">
        <v>148663</v>
      </c>
      <c r="M59" s="113" t="s">
        <v>110</v>
      </c>
      <c r="N59" s="115" t="s">
        <v>381</v>
      </c>
      <c r="O59" s="110">
        <v>431</v>
      </c>
      <c r="P59" s="106"/>
      <c r="Q59" s="107"/>
    </row>
    <row r="60" spans="1:17" ht="5.0999999999999996" customHeight="1" thickBot="1">
      <c r="A60" s="23"/>
      <c r="B60" s="25"/>
      <c r="C60" s="25"/>
      <c r="D60" s="13"/>
      <c r="E60" s="17"/>
      <c r="F60" s="9"/>
      <c r="G60" s="9"/>
      <c r="H60" s="15"/>
      <c r="I60" s="13"/>
      <c r="J60" s="11"/>
      <c r="K60" s="11"/>
      <c r="L60" s="11"/>
      <c r="M60" s="37"/>
      <c r="N60" s="39"/>
      <c r="O60" s="9"/>
      <c r="P60" s="9"/>
      <c r="Q60" s="7"/>
    </row>
    <row r="62" spans="1:17" ht="15" customHeight="1"/>
  </sheetData>
  <mergeCells count="12">
    <mergeCell ref="I1:Q1"/>
    <mergeCell ref="A1:H1"/>
    <mergeCell ref="Q3:Q6"/>
    <mergeCell ref="F3:H3"/>
    <mergeCell ref="I3:M3"/>
    <mergeCell ref="A3:A6"/>
    <mergeCell ref="B3:B6"/>
    <mergeCell ref="C3:C6"/>
    <mergeCell ref="D3:D6"/>
    <mergeCell ref="P3:P6"/>
    <mergeCell ref="O3:O6"/>
    <mergeCell ref="N3:N6"/>
  </mergeCells>
  <phoneticPr fontId="2" type="noConversion"/>
  <printOptions horizontalCentered="1"/>
  <pageMargins left="0.78740157480314965" right="0.78740157480314965" top="0.59055118110236227" bottom="1.1811023622047245" header="0.39370078740157483" footer="1.1811023622047245"/>
  <pageSetup paperSize="9" firstPageNumber="96" orientation="portrait" useFirstPageNumber="1" horizontalDpi="4294967292" r:id="rId1"/>
  <headerFooter alignWithMargins="0">
    <oddFooter>&amp;C&amp;10  - &amp;P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8"/>
  <sheetViews>
    <sheetView workbookViewId="0">
      <selection sqref="A1:H1"/>
    </sheetView>
  </sheetViews>
  <sheetFormatPr defaultRowHeight="16.5"/>
  <cols>
    <col min="1" max="1" width="2.625" style="3" customWidth="1"/>
    <col min="2" max="3" width="3.625" style="3" customWidth="1"/>
    <col min="4" max="4" width="29.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435</v>
      </c>
      <c r="B1" s="48"/>
      <c r="C1" s="48"/>
      <c r="D1" s="48"/>
      <c r="E1" s="48"/>
      <c r="F1" s="48"/>
      <c r="G1" s="48"/>
      <c r="H1" s="48"/>
      <c r="I1" s="47" t="s">
        <v>484</v>
      </c>
      <c r="J1" s="47"/>
      <c r="K1" s="47"/>
      <c r="L1" s="47"/>
      <c r="M1" s="47"/>
      <c r="N1" s="47"/>
      <c r="O1" s="47"/>
      <c r="P1" s="47"/>
      <c r="Q1" s="47"/>
    </row>
    <row r="2" spans="1:17" ht="15" customHeight="1" thickBot="1">
      <c r="A2" s="16"/>
      <c r="B2" s="16"/>
      <c r="C2" s="16"/>
      <c r="D2" s="16"/>
      <c r="E2" s="1"/>
      <c r="F2" s="18"/>
      <c r="G2" s="18"/>
      <c r="H2" s="19" t="s">
        <v>38</v>
      </c>
      <c r="J2" s="1"/>
      <c r="K2" s="1"/>
      <c r="L2" s="1"/>
      <c r="M2" s="1"/>
      <c r="N2" s="26"/>
      <c r="O2" s="26"/>
      <c r="P2" s="26"/>
      <c r="Q2" s="35" t="s">
        <v>27</v>
      </c>
    </row>
    <row r="3" spans="1:17" ht="12" customHeight="1">
      <c r="A3" s="58" t="s">
        <v>35</v>
      </c>
      <c r="B3" s="61" t="s">
        <v>36</v>
      </c>
      <c r="C3" s="61" t="s">
        <v>1</v>
      </c>
      <c r="D3" s="67" t="s">
        <v>9</v>
      </c>
      <c r="E3" s="21" t="s">
        <v>10</v>
      </c>
      <c r="F3" s="53" t="s">
        <v>11</v>
      </c>
      <c r="G3" s="54"/>
      <c r="H3" s="55"/>
      <c r="I3" s="78" t="s">
        <v>12</v>
      </c>
      <c r="J3" s="78"/>
      <c r="K3" s="78"/>
      <c r="L3" s="78"/>
      <c r="M3" s="79"/>
      <c r="N3" s="75" t="s">
        <v>13</v>
      </c>
      <c r="O3" s="74" t="s">
        <v>14</v>
      </c>
      <c r="P3" s="70" t="s">
        <v>15</v>
      </c>
      <c r="Q3" s="49" t="s">
        <v>16</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0.5" customHeight="1">
      <c r="A8" s="90"/>
      <c r="B8" s="91"/>
      <c r="C8" s="95">
        <v>432</v>
      </c>
      <c r="D8" s="82" t="s">
        <v>434</v>
      </c>
      <c r="E8" s="84">
        <v>2455</v>
      </c>
      <c r="F8" s="87">
        <v>1</v>
      </c>
      <c r="G8" s="87">
        <v>5125</v>
      </c>
      <c r="H8" s="87">
        <v>4</v>
      </c>
      <c r="I8" s="111">
        <v>5073</v>
      </c>
      <c r="J8" s="111">
        <v>2</v>
      </c>
      <c r="K8" s="111">
        <v>6943</v>
      </c>
      <c r="L8" s="111">
        <v>31398</v>
      </c>
      <c r="M8" s="113" t="s">
        <v>110</v>
      </c>
      <c r="N8" s="115" t="s">
        <v>436</v>
      </c>
      <c r="O8" s="110">
        <v>432</v>
      </c>
      <c r="P8" s="106"/>
      <c r="Q8" s="107"/>
    </row>
    <row r="9" spans="1:17" ht="20.100000000000001" customHeight="1">
      <c r="A9" s="90"/>
      <c r="B9" s="91"/>
      <c r="C9" s="95">
        <v>433</v>
      </c>
      <c r="D9" s="82" t="s">
        <v>383</v>
      </c>
      <c r="E9" s="84">
        <v>48817</v>
      </c>
      <c r="F9" s="87">
        <v>1353</v>
      </c>
      <c r="G9" s="87">
        <v>179004</v>
      </c>
      <c r="H9" s="87">
        <v>859</v>
      </c>
      <c r="I9" s="111">
        <v>176587</v>
      </c>
      <c r="J9" s="111">
        <v>1473</v>
      </c>
      <c r="K9" s="111">
        <v>203839</v>
      </c>
      <c r="L9" s="111">
        <v>1062013</v>
      </c>
      <c r="M9" s="113" t="s">
        <v>110</v>
      </c>
      <c r="N9" s="115" t="s">
        <v>437</v>
      </c>
      <c r="O9" s="110">
        <v>433</v>
      </c>
      <c r="P9" s="106"/>
      <c r="Q9" s="107"/>
    </row>
    <row r="10" spans="1:17" ht="10.5" customHeight="1">
      <c r="A10" s="90"/>
      <c r="B10" s="91"/>
      <c r="C10" s="95">
        <v>434</v>
      </c>
      <c r="D10" s="82" t="s">
        <v>384</v>
      </c>
      <c r="E10" s="84">
        <v>55863</v>
      </c>
      <c r="F10" s="87">
        <v>168</v>
      </c>
      <c r="G10" s="87">
        <v>91938</v>
      </c>
      <c r="H10" s="87">
        <v>205</v>
      </c>
      <c r="I10" s="111">
        <v>98610</v>
      </c>
      <c r="J10" s="111">
        <v>239</v>
      </c>
      <c r="K10" s="111">
        <v>117582</v>
      </c>
      <c r="L10" s="111">
        <v>568270</v>
      </c>
      <c r="M10" s="113" t="s">
        <v>110</v>
      </c>
      <c r="N10" s="115" t="s">
        <v>438</v>
      </c>
      <c r="O10" s="110">
        <v>434</v>
      </c>
      <c r="P10" s="106"/>
      <c r="Q10" s="107"/>
    </row>
    <row r="11" spans="1:17" ht="10.5" customHeight="1">
      <c r="A11" s="90"/>
      <c r="B11" s="91"/>
      <c r="C11" s="95">
        <v>439</v>
      </c>
      <c r="D11" s="82" t="s">
        <v>385</v>
      </c>
      <c r="E11" s="84">
        <v>17927</v>
      </c>
      <c r="F11" s="87">
        <v>46</v>
      </c>
      <c r="G11" s="87">
        <v>88868</v>
      </c>
      <c r="H11" s="87">
        <v>66</v>
      </c>
      <c r="I11" s="111">
        <v>91847</v>
      </c>
      <c r="J11" s="111">
        <v>21</v>
      </c>
      <c r="K11" s="111">
        <v>109320</v>
      </c>
      <c r="L11" s="111">
        <v>538123</v>
      </c>
      <c r="M11" s="113" t="s">
        <v>110</v>
      </c>
      <c r="N11" s="115" t="s">
        <v>439</v>
      </c>
      <c r="O11" s="110">
        <v>439</v>
      </c>
      <c r="P11" s="106"/>
      <c r="Q11" s="107"/>
    </row>
    <row r="12" spans="1:17" ht="14.1" customHeight="1">
      <c r="A12" s="93" t="s">
        <v>430</v>
      </c>
      <c r="B12" s="91"/>
      <c r="C12" s="95"/>
      <c r="D12" s="83" t="s">
        <v>386</v>
      </c>
      <c r="E12" s="85">
        <v>731465</v>
      </c>
      <c r="F12" s="88">
        <v>142242</v>
      </c>
      <c r="G12" s="88">
        <v>2914192</v>
      </c>
      <c r="H12" s="88">
        <v>152333</v>
      </c>
      <c r="I12" s="112">
        <v>2932417</v>
      </c>
      <c r="J12" s="112">
        <v>147949</v>
      </c>
      <c r="K12" s="112">
        <v>3252528</v>
      </c>
      <c r="L12" s="112">
        <v>18261228</v>
      </c>
      <c r="M12" s="114" t="s">
        <v>110</v>
      </c>
      <c r="N12" s="116" t="s">
        <v>440</v>
      </c>
      <c r="O12" s="110"/>
      <c r="P12" s="106"/>
      <c r="Q12" s="108" t="s">
        <v>430</v>
      </c>
    </row>
    <row r="13" spans="1:17" ht="10.5" customHeight="1">
      <c r="A13" s="90"/>
      <c r="B13" s="94" t="s">
        <v>431</v>
      </c>
      <c r="C13" s="95"/>
      <c r="D13" s="82" t="s">
        <v>387</v>
      </c>
      <c r="E13" s="84">
        <v>328905</v>
      </c>
      <c r="F13" s="87">
        <v>113395</v>
      </c>
      <c r="G13" s="87">
        <v>1981990</v>
      </c>
      <c r="H13" s="87">
        <v>122915</v>
      </c>
      <c r="I13" s="111">
        <v>1969368</v>
      </c>
      <c r="J13" s="111">
        <v>120217</v>
      </c>
      <c r="K13" s="111">
        <v>2228428</v>
      </c>
      <c r="L13" s="111">
        <v>12522040</v>
      </c>
      <c r="M13" s="113" t="s">
        <v>110</v>
      </c>
      <c r="N13" s="115" t="s">
        <v>441</v>
      </c>
      <c r="O13" s="110"/>
      <c r="P13" s="109" t="s">
        <v>431</v>
      </c>
      <c r="Q13" s="107"/>
    </row>
    <row r="14" spans="1:17" ht="10.5" customHeight="1">
      <c r="A14" s="90"/>
      <c r="B14" s="91"/>
      <c r="C14" s="95">
        <v>451</v>
      </c>
      <c r="D14" s="82" t="s">
        <v>388</v>
      </c>
      <c r="E14" s="84">
        <v>10676</v>
      </c>
      <c r="F14" s="87">
        <v>21383</v>
      </c>
      <c r="G14" s="87">
        <v>123455</v>
      </c>
      <c r="H14" s="87">
        <v>27195</v>
      </c>
      <c r="I14" s="111">
        <v>132539</v>
      </c>
      <c r="J14" s="111">
        <v>27710</v>
      </c>
      <c r="K14" s="111">
        <v>149135</v>
      </c>
      <c r="L14" s="111">
        <v>909741</v>
      </c>
      <c r="M14" s="113" t="s">
        <v>110</v>
      </c>
      <c r="N14" s="115" t="s">
        <v>442</v>
      </c>
      <c r="O14" s="110">
        <v>451</v>
      </c>
      <c r="P14" s="106"/>
      <c r="Q14" s="107"/>
    </row>
    <row r="15" spans="1:17" ht="10.5" customHeight="1">
      <c r="A15" s="90"/>
      <c r="B15" s="91"/>
      <c r="C15" s="95">
        <v>452</v>
      </c>
      <c r="D15" s="82" t="s">
        <v>389</v>
      </c>
      <c r="E15" s="84">
        <v>5965</v>
      </c>
      <c r="F15" s="87">
        <v>2816</v>
      </c>
      <c r="G15" s="87">
        <v>60548</v>
      </c>
      <c r="H15" s="87">
        <v>3045</v>
      </c>
      <c r="I15" s="111">
        <v>57959</v>
      </c>
      <c r="J15" s="111">
        <v>2876</v>
      </c>
      <c r="K15" s="111">
        <v>64267</v>
      </c>
      <c r="L15" s="111">
        <v>368565</v>
      </c>
      <c r="M15" s="113" t="s">
        <v>110</v>
      </c>
      <c r="N15" s="115" t="s">
        <v>443</v>
      </c>
      <c r="O15" s="110">
        <v>452</v>
      </c>
      <c r="P15" s="106"/>
      <c r="Q15" s="107"/>
    </row>
    <row r="16" spans="1:17" ht="10.5" customHeight="1">
      <c r="A16" s="90"/>
      <c r="B16" s="91"/>
      <c r="C16" s="95">
        <v>453</v>
      </c>
      <c r="D16" s="82" t="s">
        <v>390</v>
      </c>
      <c r="E16" s="84">
        <v>4995</v>
      </c>
      <c r="F16" s="87">
        <v>86</v>
      </c>
      <c r="G16" s="87">
        <v>27092</v>
      </c>
      <c r="H16" s="87">
        <v>120</v>
      </c>
      <c r="I16" s="111">
        <v>26073</v>
      </c>
      <c r="J16" s="111">
        <v>378</v>
      </c>
      <c r="K16" s="111">
        <v>27663</v>
      </c>
      <c r="L16" s="111">
        <v>158766</v>
      </c>
      <c r="M16" s="113" t="s">
        <v>110</v>
      </c>
      <c r="N16" s="115" t="s">
        <v>444</v>
      </c>
      <c r="O16" s="110">
        <v>453</v>
      </c>
      <c r="P16" s="106"/>
      <c r="Q16" s="107"/>
    </row>
    <row r="17" spans="1:17" ht="10.5" customHeight="1">
      <c r="A17" s="90"/>
      <c r="B17" s="91"/>
      <c r="C17" s="95">
        <v>454</v>
      </c>
      <c r="D17" s="82" t="s">
        <v>391</v>
      </c>
      <c r="E17" s="84">
        <v>55542</v>
      </c>
      <c r="F17" s="87">
        <v>5328</v>
      </c>
      <c r="G17" s="87">
        <v>294280</v>
      </c>
      <c r="H17" s="87">
        <v>2059</v>
      </c>
      <c r="I17" s="111">
        <v>289253</v>
      </c>
      <c r="J17" s="111">
        <v>2589</v>
      </c>
      <c r="K17" s="111">
        <v>309558</v>
      </c>
      <c r="L17" s="111">
        <v>1720470</v>
      </c>
      <c r="M17" s="113" t="s">
        <v>110</v>
      </c>
      <c r="N17" s="115" t="s">
        <v>445</v>
      </c>
      <c r="O17" s="110">
        <v>454</v>
      </c>
      <c r="P17" s="106"/>
      <c r="Q17" s="107"/>
    </row>
    <row r="18" spans="1:17" ht="10.5" customHeight="1">
      <c r="A18" s="90"/>
      <c r="B18" s="91"/>
      <c r="C18" s="95">
        <v>455</v>
      </c>
      <c r="D18" s="82" t="s">
        <v>392</v>
      </c>
      <c r="E18" s="84">
        <v>19957</v>
      </c>
      <c r="F18" s="87">
        <v>6332</v>
      </c>
      <c r="G18" s="87">
        <v>67163</v>
      </c>
      <c r="H18" s="87">
        <v>7465</v>
      </c>
      <c r="I18" s="111">
        <v>67979</v>
      </c>
      <c r="J18" s="111">
        <v>7706</v>
      </c>
      <c r="K18" s="111">
        <v>76708</v>
      </c>
      <c r="L18" s="111">
        <v>440285</v>
      </c>
      <c r="M18" s="113" t="s">
        <v>110</v>
      </c>
      <c r="N18" s="115" t="s">
        <v>446</v>
      </c>
      <c r="O18" s="110">
        <v>455</v>
      </c>
      <c r="P18" s="106"/>
      <c r="Q18" s="107"/>
    </row>
    <row r="19" spans="1:17" ht="10.5" customHeight="1">
      <c r="A19" s="90"/>
      <c r="B19" s="91"/>
      <c r="C19" s="95">
        <v>456</v>
      </c>
      <c r="D19" s="82" t="s">
        <v>393</v>
      </c>
      <c r="E19" s="84">
        <v>35872</v>
      </c>
      <c r="F19" s="87">
        <v>2270</v>
      </c>
      <c r="G19" s="87">
        <v>141180</v>
      </c>
      <c r="H19" s="87">
        <v>2310</v>
      </c>
      <c r="I19" s="111">
        <v>138339</v>
      </c>
      <c r="J19" s="111">
        <v>4257</v>
      </c>
      <c r="K19" s="111">
        <v>160183</v>
      </c>
      <c r="L19" s="111">
        <v>877904</v>
      </c>
      <c r="M19" s="113" t="s">
        <v>110</v>
      </c>
      <c r="N19" s="115" t="s">
        <v>447</v>
      </c>
      <c r="O19" s="110">
        <v>456</v>
      </c>
      <c r="P19" s="106"/>
      <c r="Q19" s="107"/>
    </row>
    <row r="20" spans="1:17" ht="20.100000000000001" customHeight="1">
      <c r="A20" s="90"/>
      <c r="B20" s="91"/>
      <c r="C20" s="95">
        <v>457</v>
      </c>
      <c r="D20" s="82" t="s">
        <v>394</v>
      </c>
      <c r="E20" s="84">
        <v>16228</v>
      </c>
      <c r="F20" s="87">
        <v>687</v>
      </c>
      <c r="G20" s="87">
        <v>94610</v>
      </c>
      <c r="H20" s="87">
        <v>485</v>
      </c>
      <c r="I20" s="111">
        <v>102240</v>
      </c>
      <c r="J20" s="111">
        <v>652</v>
      </c>
      <c r="K20" s="111">
        <v>110739</v>
      </c>
      <c r="L20" s="111">
        <v>595108</v>
      </c>
      <c r="M20" s="113" t="s">
        <v>110</v>
      </c>
      <c r="N20" s="115" t="s">
        <v>448</v>
      </c>
      <c r="O20" s="110">
        <v>457</v>
      </c>
      <c r="P20" s="106"/>
      <c r="Q20" s="107"/>
    </row>
    <row r="21" spans="1:17" ht="10.5" customHeight="1">
      <c r="A21" s="90"/>
      <c r="B21" s="91"/>
      <c r="C21" s="95">
        <v>458</v>
      </c>
      <c r="D21" s="82" t="s">
        <v>395</v>
      </c>
      <c r="E21" s="84">
        <v>10896</v>
      </c>
      <c r="F21" s="87">
        <v>2785</v>
      </c>
      <c r="G21" s="87">
        <v>34563</v>
      </c>
      <c r="H21" s="87">
        <v>2295</v>
      </c>
      <c r="I21" s="111">
        <v>34570</v>
      </c>
      <c r="J21" s="111">
        <v>2330</v>
      </c>
      <c r="K21" s="111">
        <v>41352</v>
      </c>
      <c r="L21" s="111">
        <v>231522</v>
      </c>
      <c r="M21" s="113" t="s">
        <v>110</v>
      </c>
      <c r="N21" s="115" t="s">
        <v>449</v>
      </c>
      <c r="O21" s="110">
        <v>458</v>
      </c>
      <c r="P21" s="106"/>
      <c r="Q21" s="107"/>
    </row>
    <row r="22" spans="1:17" ht="10.5" customHeight="1">
      <c r="A22" s="90"/>
      <c r="B22" s="91"/>
      <c r="C22" s="95">
        <v>461</v>
      </c>
      <c r="D22" s="82" t="s">
        <v>396</v>
      </c>
      <c r="E22" s="84">
        <v>54863</v>
      </c>
      <c r="F22" s="87">
        <v>7597</v>
      </c>
      <c r="G22" s="87">
        <v>260733</v>
      </c>
      <c r="H22" s="87">
        <v>7142</v>
      </c>
      <c r="I22" s="111">
        <v>250500</v>
      </c>
      <c r="J22" s="111">
        <v>7505</v>
      </c>
      <c r="K22" s="111">
        <v>286697</v>
      </c>
      <c r="L22" s="111">
        <v>1592504</v>
      </c>
      <c r="M22" s="113" t="s">
        <v>110</v>
      </c>
      <c r="N22" s="115" t="s">
        <v>450</v>
      </c>
      <c r="O22" s="110">
        <v>461</v>
      </c>
      <c r="P22" s="106"/>
      <c r="Q22" s="107"/>
    </row>
    <row r="23" spans="1:17" ht="10.5" customHeight="1">
      <c r="A23" s="90"/>
      <c r="B23" s="91"/>
      <c r="C23" s="95">
        <v>462</v>
      </c>
      <c r="D23" s="82" t="s">
        <v>397</v>
      </c>
      <c r="E23" s="84">
        <v>12291</v>
      </c>
      <c r="F23" s="87">
        <v>13861</v>
      </c>
      <c r="G23" s="87">
        <v>90666</v>
      </c>
      <c r="H23" s="87">
        <v>13774</v>
      </c>
      <c r="I23" s="111">
        <v>89816</v>
      </c>
      <c r="J23" s="111">
        <v>12243</v>
      </c>
      <c r="K23" s="111">
        <v>104998</v>
      </c>
      <c r="L23" s="111">
        <v>634638</v>
      </c>
      <c r="M23" s="113" t="s">
        <v>110</v>
      </c>
      <c r="N23" s="115" t="s">
        <v>451</v>
      </c>
      <c r="O23" s="110">
        <v>462</v>
      </c>
      <c r="P23" s="106"/>
      <c r="Q23" s="107"/>
    </row>
    <row r="24" spans="1:17" ht="10.5" customHeight="1">
      <c r="A24" s="90"/>
      <c r="B24" s="91"/>
      <c r="C24" s="95">
        <v>463</v>
      </c>
      <c r="D24" s="82" t="s">
        <v>398</v>
      </c>
      <c r="E24" s="84">
        <v>1788</v>
      </c>
      <c r="F24" s="87">
        <v>352</v>
      </c>
      <c r="G24" s="87">
        <v>51588</v>
      </c>
      <c r="H24" s="87">
        <v>277</v>
      </c>
      <c r="I24" s="111">
        <v>47054</v>
      </c>
      <c r="J24" s="111">
        <v>134</v>
      </c>
      <c r="K24" s="111">
        <v>47425</v>
      </c>
      <c r="L24" s="111">
        <v>295215</v>
      </c>
      <c r="M24" s="113" t="s">
        <v>110</v>
      </c>
      <c r="N24" s="115" t="s">
        <v>452</v>
      </c>
      <c r="O24" s="110">
        <v>463</v>
      </c>
      <c r="P24" s="106"/>
      <c r="Q24" s="107"/>
    </row>
    <row r="25" spans="1:17" ht="10.5" customHeight="1">
      <c r="A25" s="90"/>
      <c r="B25" s="91"/>
      <c r="C25" s="95">
        <v>464</v>
      </c>
      <c r="D25" s="82" t="s">
        <v>399</v>
      </c>
      <c r="E25" s="84">
        <v>71006</v>
      </c>
      <c r="F25" s="87">
        <v>43408</v>
      </c>
      <c r="G25" s="87">
        <v>519678</v>
      </c>
      <c r="H25" s="87">
        <v>50192</v>
      </c>
      <c r="I25" s="111">
        <v>518682</v>
      </c>
      <c r="J25" s="111">
        <v>45437</v>
      </c>
      <c r="K25" s="111">
        <v>610968</v>
      </c>
      <c r="L25" s="111">
        <v>3356449</v>
      </c>
      <c r="M25" s="113" t="s">
        <v>110</v>
      </c>
      <c r="N25" s="115" t="s">
        <v>453</v>
      </c>
      <c r="O25" s="110">
        <v>464</v>
      </c>
      <c r="P25" s="106"/>
      <c r="Q25" s="107"/>
    </row>
    <row r="26" spans="1:17" ht="20.100000000000001" customHeight="1">
      <c r="A26" s="90"/>
      <c r="B26" s="91"/>
      <c r="C26" s="95">
        <v>465</v>
      </c>
      <c r="D26" s="82" t="s">
        <v>400</v>
      </c>
      <c r="E26" s="84">
        <v>15511</v>
      </c>
      <c r="F26" s="87">
        <v>4003</v>
      </c>
      <c r="G26" s="87">
        <v>146917</v>
      </c>
      <c r="H26" s="87">
        <v>4119</v>
      </c>
      <c r="I26" s="111">
        <v>146982</v>
      </c>
      <c r="J26" s="111">
        <v>3859</v>
      </c>
      <c r="K26" s="111">
        <v>164973</v>
      </c>
      <c r="L26" s="111">
        <v>925420</v>
      </c>
      <c r="M26" s="113" t="s">
        <v>110</v>
      </c>
      <c r="N26" s="115" t="s">
        <v>454</v>
      </c>
      <c r="O26" s="110">
        <v>465</v>
      </c>
      <c r="P26" s="106"/>
      <c r="Q26" s="107"/>
    </row>
    <row r="27" spans="1:17" ht="10.5" customHeight="1">
      <c r="A27" s="90"/>
      <c r="B27" s="91"/>
      <c r="C27" s="95">
        <v>469</v>
      </c>
      <c r="D27" s="82" t="s">
        <v>401</v>
      </c>
      <c r="E27" s="84">
        <v>13315</v>
      </c>
      <c r="F27" s="87">
        <v>2488</v>
      </c>
      <c r="G27" s="87">
        <v>69515</v>
      </c>
      <c r="H27" s="87">
        <v>2438</v>
      </c>
      <c r="I27" s="111">
        <v>67382</v>
      </c>
      <c r="J27" s="111">
        <v>2541</v>
      </c>
      <c r="K27" s="111">
        <v>73761</v>
      </c>
      <c r="L27" s="111">
        <v>415454</v>
      </c>
      <c r="M27" s="113" t="s">
        <v>110</v>
      </c>
      <c r="N27" s="115" t="s">
        <v>455</v>
      </c>
      <c r="O27" s="110">
        <v>469</v>
      </c>
      <c r="P27" s="106"/>
      <c r="Q27" s="107"/>
    </row>
    <row r="28" spans="1:17" ht="10.5" customHeight="1">
      <c r="A28" s="90"/>
      <c r="B28" s="94" t="s">
        <v>432</v>
      </c>
      <c r="C28" s="95"/>
      <c r="D28" s="82" t="s">
        <v>402</v>
      </c>
      <c r="E28" s="84">
        <v>402560</v>
      </c>
      <c r="F28" s="87">
        <v>28847</v>
      </c>
      <c r="G28" s="87">
        <v>932202</v>
      </c>
      <c r="H28" s="87">
        <v>29418</v>
      </c>
      <c r="I28" s="111">
        <v>963050</v>
      </c>
      <c r="J28" s="111">
        <v>27732</v>
      </c>
      <c r="K28" s="111">
        <v>1024100</v>
      </c>
      <c r="L28" s="111">
        <v>5739188</v>
      </c>
      <c r="M28" s="113" t="s">
        <v>110</v>
      </c>
      <c r="N28" s="115" t="s">
        <v>456</v>
      </c>
      <c r="O28" s="110"/>
      <c r="P28" s="109" t="s">
        <v>432</v>
      </c>
      <c r="Q28" s="107"/>
    </row>
    <row r="29" spans="1:17" ht="10.5" customHeight="1">
      <c r="A29" s="90"/>
      <c r="B29" s="91"/>
      <c r="C29" s="95">
        <v>471</v>
      </c>
      <c r="D29" s="82" t="s">
        <v>403</v>
      </c>
      <c r="E29" s="84">
        <v>37374</v>
      </c>
      <c r="F29" s="87">
        <v>1034</v>
      </c>
      <c r="G29" s="87">
        <v>269746</v>
      </c>
      <c r="H29" s="87">
        <v>1033</v>
      </c>
      <c r="I29" s="111">
        <v>273172</v>
      </c>
      <c r="J29" s="111">
        <v>1143</v>
      </c>
      <c r="K29" s="111">
        <v>285124</v>
      </c>
      <c r="L29" s="111">
        <v>1584906</v>
      </c>
      <c r="M29" s="113" t="s">
        <v>110</v>
      </c>
      <c r="N29" s="115" t="s">
        <v>457</v>
      </c>
      <c r="O29" s="110">
        <v>471</v>
      </c>
      <c r="P29" s="106"/>
      <c r="Q29" s="107"/>
    </row>
    <row r="30" spans="1:17" ht="20.100000000000001" customHeight="1">
      <c r="A30" s="90"/>
      <c r="B30" s="91"/>
      <c r="C30" s="95">
        <v>472</v>
      </c>
      <c r="D30" s="82" t="s">
        <v>404</v>
      </c>
      <c r="E30" s="84">
        <v>103526</v>
      </c>
      <c r="F30" s="87">
        <v>4245</v>
      </c>
      <c r="G30" s="87">
        <v>76034</v>
      </c>
      <c r="H30" s="87">
        <v>4254</v>
      </c>
      <c r="I30" s="111">
        <v>77351</v>
      </c>
      <c r="J30" s="111">
        <v>4424</v>
      </c>
      <c r="K30" s="111">
        <v>82228</v>
      </c>
      <c r="L30" s="111">
        <v>476157</v>
      </c>
      <c r="M30" s="113" t="s">
        <v>110</v>
      </c>
      <c r="N30" s="115" t="s">
        <v>458</v>
      </c>
      <c r="O30" s="110">
        <v>472</v>
      </c>
      <c r="P30" s="106"/>
      <c r="Q30" s="107"/>
    </row>
    <row r="31" spans="1:17" ht="10.5" customHeight="1">
      <c r="A31" s="90"/>
      <c r="B31" s="91"/>
      <c r="C31" s="95">
        <v>473</v>
      </c>
      <c r="D31" s="82" t="s">
        <v>405</v>
      </c>
      <c r="E31" s="84">
        <v>32537</v>
      </c>
      <c r="F31" s="87">
        <v>2204</v>
      </c>
      <c r="G31" s="87">
        <v>39140</v>
      </c>
      <c r="H31" s="87">
        <v>2222</v>
      </c>
      <c r="I31" s="111">
        <v>38292</v>
      </c>
      <c r="J31" s="111">
        <v>2117</v>
      </c>
      <c r="K31" s="111">
        <v>49367</v>
      </c>
      <c r="L31" s="111">
        <v>255214</v>
      </c>
      <c r="M31" s="113" t="s">
        <v>110</v>
      </c>
      <c r="N31" s="115" t="s">
        <v>459</v>
      </c>
      <c r="O31" s="110">
        <v>473</v>
      </c>
      <c r="P31" s="106"/>
      <c r="Q31" s="107"/>
    </row>
    <row r="32" spans="1:17" ht="20.100000000000001" customHeight="1">
      <c r="A32" s="90"/>
      <c r="B32" s="91"/>
      <c r="C32" s="95">
        <v>474</v>
      </c>
      <c r="D32" s="82" t="s">
        <v>406</v>
      </c>
      <c r="E32" s="84">
        <v>50453</v>
      </c>
      <c r="F32" s="87">
        <v>3740</v>
      </c>
      <c r="G32" s="87">
        <v>74202</v>
      </c>
      <c r="H32" s="87">
        <v>3489</v>
      </c>
      <c r="I32" s="111">
        <v>67704</v>
      </c>
      <c r="J32" s="111">
        <v>3411</v>
      </c>
      <c r="K32" s="111">
        <v>73639</v>
      </c>
      <c r="L32" s="111">
        <v>435604</v>
      </c>
      <c r="M32" s="113" t="s">
        <v>110</v>
      </c>
      <c r="N32" s="115" t="s">
        <v>460</v>
      </c>
      <c r="O32" s="110">
        <v>474</v>
      </c>
      <c r="P32" s="106"/>
      <c r="Q32" s="107"/>
    </row>
    <row r="33" spans="1:17" ht="20.100000000000001" customHeight="1">
      <c r="A33" s="90"/>
      <c r="B33" s="91"/>
      <c r="C33" s="95">
        <v>475</v>
      </c>
      <c r="D33" s="82" t="s">
        <v>407</v>
      </c>
      <c r="E33" s="84">
        <v>25763</v>
      </c>
      <c r="F33" s="87">
        <v>1526</v>
      </c>
      <c r="G33" s="87">
        <v>40805</v>
      </c>
      <c r="H33" s="87">
        <v>1440</v>
      </c>
      <c r="I33" s="111">
        <v>41286</v>
      </c>
      <c r="J33" s="111">
        <v>1682</v>
      </c>
      <c r="K33" s="111">
        <v>44326</v>
      </c>
      <c r="L33" s="111">
        <v>253081</v>
      </c>
      <c r="M33" s="113" t="s">
        <v>110</v>
      </c>
      <c r="N33" s="115" t="s">
        <v>461</v>
      </c>
      <c r="O33" s="110">
        <v>475</v>
      </c>
      <c r="P33" s="106"/>
      <c r="Q33" s="107"/>
    </row>
    <row r="34" spans="1:17" ht="20.100000000000001" customHeight="1">
      <c r="A34" s="90"/>
      <c r="B34" s="91"/>
      <c r="C34" s="95">
        <v>476</v>
      </c>
      <c r="D34" s="82" t="s">
        <v>408</v>
      </c>
      <c r="E34" s="84">
        <v>14930</v>
      </c>
      <c r="F34" s="87">
        <v>1098</v>
      </c>
      <c r="G34" s="87">
        <v>15858</v>
      </c>
      <c r="H34" s="87">
        <v>894</v>
      </c>
      <c r="I34" s="111">
        <v>16565</v>
      </c>
      <c r="J34" s="111">
        <v>928</v>
      </c>
      <c r="K34" s="111">
        <v>18814</v>
      </c>
      <c r="L34" s="111">
        <v>104821</v>
      </c>
      <c r="M34" s="113" t="s">
        <v>110</v>
      </c>
      <c r="N34" s="115" t="s">
        <v>462</v>
      </c>
      <c r="O34" s="110">
        <v>476</v>
      </c>
      <c r="P34" s="106"/>
      <c r="Q34" s="107"/>
    </row>
    <row r="35" spans="1:17" ht="10.5" customHeight="1">
      <c r="A35" s="90"/>
      <c r="B35" s="91"/>
      <c r="C35" s="95">
        <v>481</v>
      </c>
      <c r="D35" s="82" t="s">
        <v>409</v>
      </c>
      <c r="E35" s="84">
        <v>10971</v>
      </c>
      <c r="F35" s="87">
        <v>526</v>
      </c>
      <c r="G35" s="87">
        <v>17960</v>
      </c>
      <c r="H35" s="87">
        <v>595</v>
      </c>
      <c r="I35" s="111">
        <v>17578</v>
      </c>
      <c r="J35" s="111">
        <v>558</v>
      </c>
      <c r="K35" s="111">
        <v>20036</v>
      </c>
      <c r="L35" s="111">
        <v>111053</v>
      </c>
      <c r="M35" s="113" t="s">
        <v>110</v>
      </c>
      <c r="N35" s="115" t="s">
        <v>463</v>
      </c>
      <c r="O35" s="110">
        <v>481</v>
      </c>
      <c r="P35" s="106"/>
      <c r="Q35" s="107"/>
    </row>
    <row r="36" spans="1:17" ht="10.5" customHeight="1">
      <c r="A36" s="90"/>
      <c r="B36" s="91"/>
      <c r="C36" s="95">
        <v>482</v>
      </c>
      <c r="D36" s="82" t="s">
        <v>410</v>
      </c>
      <c r="E36" s="84">
        <v>5663</v>
      </c>
      <c r="F36" s="87">
        <v>987</v>
      </c>
      <c r="G36" s="87">
        <v>103646</v>
      </c>
      <c r="H36" s="87">
        <v>939</v>
      </c>
      <c r="I36" s="111">
        <v>108539</v>
      </c>
      <c r="J36" s="111">
        <v>915</v>
      </c>
      <c r="K36" s="111">
        <v>108643</v>
      </c>
      <c r="L36" s="111">
        <v>632657</v>
      </c>
      <c r="M36" s="113" t="s">
        <v>110</v>
      </c>
      <c r="N36" s="115" t="s">
        <v>464</v>
      </c>
      <c r="O36" s="110">
        <v>482</v>
      </c>
      <c r="P36" s="106"/>
      <c r="Q36" s="107"/>
    </row>
    <row r="37" spans="1:17" ht="20.100000000000001" customHeight="1">
      <c r="A37" s="90"/>
      <c r="B37" s="91"/>
      <c r="C37" s="95">
        <v>483</v>
      </c>
      <c r="D37" s="82" t="s">
        <v>411</v>
      </c>
      <c r="E37" s="84">
        <v>13467</v>
      </c>
      <c r="F37" s="87">
        <v>6381</v>
      </c>
      <c r="G37" s="87">
        <v>77374</v>
      </c>
      <c r="H37" s="87">
        <v>7596</v>
      </c>
      <c r="I37" s="111">
        <v>110190</v>
      </c>
      <c r="J37" s="111">
        <v>5752</v>
      </c>
      <c r="K37" s="111">
        <v>97980</v>
      </c>
      <c r="L37" s="111">
        <v>548866</v>
      </c>
      <c r="M37" s="113" t="s">
        <v>110</v>
      </c>
      <c r="N37" s="115" t="s">
        <v>465</v>
      </c>
      <c r="O37" s="110">
        <v>483</v>
      </c>
      <c r="P37" s="106"/>
      <c r="Q37" s="107"/>
    </row>
    <row r="38" spans="1:17" ht="20.100000000000001" customHeight="1">
      <c r="A38" s="90"/>
      <c r="B38" s="91"/>
      <c r="C38" s="95">
        <v>484</v>
      </c>
      <c r="D38" s="82" t="s">
        <v>412</v>
      </c>
      <c r="E38" s="84">
        <v>26175</v>
      </c>
      <c r="F38" s="87">
        <v>2478</v>
      </c>
      <c r="G38" s="87">
        <v>162533</v>
      </c>
      <c r="H38" s="87">
        <v>2159</v>
      </c>
      <c r="I38" s="111">
        <v>155452</v>
      </c>
      <c r="J38" s="111">
        <v>2139</v>
      </c>
      <c r="K38" s="111">
        <v>177396</v>
      </c>
      <c r="L38" s="111">
        <v>970629</v>
      </c>
      <c r="M38" s="113" t="s">
        <v>110</v>
      </c>
      <c r="N38" s="115" t="s">
        <v>466</v>
      </c>
      <c r="O38" s="110">
        <v>484</v>
      </c>
      <c r="P38" s="106"/>
      <c r="Q38" s="107"/>
    </row>
    <row r="39" spans="1:17" ht="10.5" customHeight="1">
      <c r="A39" s="90"/>
      <c r="B39" s="91"/>
      <c r="C39" s="95">
        <v>485</v>
      </c>
      <c r="D39" s="82" t="s">
        <v>413</v>
      </c>
      <c r="E39" s="84">
        <v>26124</v>
      </c>
      <c r="F39" s="87">
        <v>1929</v>
      </c>
      <c r="G39" s="87">
        <v>12837</v>
      </c>
      <c r="H39" s="87">
        <v>1817</v>
      </c>
      <c r="I39" s="111">
        <v>13389</v>
      </c>
      <c r="J39" s="111">
        <v>1798</v>
      </c>
      <c r="K39" s="111">
        <v>14293</v>
      </c>
      <c r="L39" s="111">
        <v>90569</v>
      </c>
      <c r="M39" s="113" t="s">
        <v>110</v>
      </c>
      <c r="N39" s="115" t="s">
        <v>467</v>
      </c>
      <c r="O39" s="110">
        <v>485</v>
      </c>
      <c r="P39" s="106"/>
      <c r="Q39" s="107"/>
    </row>
    <row r="40" spans="1:17" ht="10.5" customHeight="1">
      <c r="A40" s="90"/>
      <c r="B40" s="91"/>
      <c r="C40" s="95">
        <v>486</v>
      </c>
      <c r="D40" s="82" t="s">
        <v>414</v>
      </c>
      <c r="E40" s="84">
        <v>3579</v>
      </c>
      <c r="F40" s="87">
        <v>255</v>
      </c>
      <c r="G40" s="87">
        <v>430</v>
      </c>
      <c r="H40" s="87">
        <v>268</v>
      </c>
      <c r="I40" s="111">
        <v>442</v>
      </c>
      <c r="J40" s="111">
        <v>257</v>
      </c>
      <c r="K40" s="111">
        <v>439</v>
      </c>
      <c r="L40" s="111">
        <v>4171</v>
      </c>
      <c r="M40" s="113" t="s">
        <v>110</v>
      </c>
      <c r="N40" s="115" t="s">
        <v>468</v>
      </c>
      <c r="O40" s="110">
        <v>486</v>
      </c>
      <c r="P40" s="106"/>
      <c r="Q40" s="107"/>
    </row>
    <row r="41" spans="1:17" ht="10.5" customHeight="1">
      <c r="A41" s="90"/>
      <c r="B41" s="91"/>
      <c r="C41" s="95">
        <v>487</v>
      </c>
      <c r="D41" s="82" t="s">
        <v>415</v>
      </c>
      <c r="E41" s="84">
        <v>51998</v>
      </c>
      <c r="F41" s="87">
        <v>2443</v>
      </c>
      <c r="G41" s="87">
        <v>41637</v>
      </c>
      <c r="H41" s="87">
        <v>2711</v>
      </c>
      <c r="I41" s="111">
        <v>43088</v>
      </c>
      <c r="J41" s="111">
        <v>2608</v>
      </c>
      <c r="K41" s="111">
        <v>51815</v>
      </c>
      <c r="L41" s="111">
        <v>271460</v>
      </c>
      <c r="M41" s="113" t="s">
        <v>110</v>
      </c>
      <c r="N41" s="115" t="s">
        <v>469</v>
      </c>
      <c r="O41" s="110">
        <v>487</v>
      </c>
      <c r="P41" s="106"/>
      <c r="Q41" s="107"/>
    </row>
    <row r="42" spans="1:17" ht="14.1" customHeight="1">
      <c r="A42" s="93" t="s">
        <v>433</v>
      </c>
      <c r="B42" s="91"/>
      <c r="C42" s="95"/>
      <c r="D42" s="83" t="s">
        <v>416</v>
      </c>
      <c r="E42" s="85">
        <v>37212</v>
      </c>
      <c r="F42" s="88">
        <v>16786</v>
      </c>
      <c r="G42" s="88">
        <v>232318</v>
      </c>
      <c r="H42" s="88">
        <v>19340</v>
      </c>
      <c r="I42" s="112">
        <v>220181</v>
      </c>
      <c r="J42" s="112">
        <v>19462</v>
      </c>
      <c r="K42" s="112">
        <v>382523</v>
      </c>
      <c r="L42" s="112">
        <v>1611760</v>
      </c>
      <c r="M42" s="114" t="s">
        <v>110</v>
      </c>
      <c r="N42" s="116" t="s">
        <v>470</v>
      </c>
      <c r="O42" s="110"/>
      <c r="P42" s="106"/>
      <c r="Q42" s="108" t="s">
        <v>433</v>
      </c>
    </row>
    <row r="43" spans="1:17" ht="10.5" customHeight="1">
      <c r="A43" s="90"/>
      <c r="B43" s="94">
        <v>49</v>
      </c>
      <c r="C43" s="95"/>
      <c r="D43" s="82" t="s">
        <v>417</v>
      </c>
      <c r="E43" s="84">
        <v>14954</v>
      </c>
      <c r="F43" s="87">
        <v>709</v>
      </c>
      <c r="G43" s="87">
        <v>80282</v>
      </c>
      <c r="H43" s="87">
        <v>699</v>
      </c>
      <c r="I43" s="111">
        <v>79380</v>
      </c>
      <c r="J43" s="111">
        <v>747</v>
      </c>
      <c r="K43" s="111">
        <v>103829</v>
      </c>
      <c r="L43" s="111">
        <v>500676</v>
      </c>
      <c r="M43" s="113" t="s">
        <v>110</v>
      </c>
      <c r="N43" s="115" t="s">
        <v>471</v>
      </c>
      <c r="O43" s="110"/>
      <c r="P43" s="109">
        <v>49</v>
      </c>
      <c r="Q43" s="107"/>
    </row>
    <row r="44" spans="1:17" ht="10.5" customHeight="1">
      <c r="A44" s="90"/>
      <c r="B44" s="91"/>
      <c r="C44" s="95">
        <v>491</v>
      </c>
      <c r="D44" s="82" t="s">
        <v>418</v>
      </c>
      <c r="E44" s="84">
        <v>66</v>
      </c>
      <c r="F44" s="87">
        <v>0</v>
      </c>
      <c r="G44" s="87">
        <v>10446</v>
      </c>
      <c r="H44" s="87">
        <v>0</v>
      </c>
      <c r="I44" s="111">
        <v>10514</v>
      </c>
      <c r="J44" s="111">
        <v>22</v>
      </c>
      <c r="K44" s="111">
        <v>11236</v>
      </c>
      <c r="L44" s="111">
        <v>63102</v>
      </c>
      <c r="M44" s="113" t="s">
        <v>110</v>
      </c>
      <c r="N44" s="115" t="s">
        <v>472</v>
      </c>
      <c r="O44" s="110">
        <v>491</v>
      </c>
      <c r="P44" s="106"/>
      <c r="Q44" s="107"/>
    </row>
    <row r="45" spans="1:17" ht="10.5" customHeight="1">
      <c r="A45" s="90"/>
      <c r="B45" s="91"/>
      <c r="C45" s="95">
        <v>492</v>
      </c>
      <c r="D45" s="82" t="s">
        <v>419</v>
      </c>
      <c r="E45" s="84">
        <v>186</v>
      </c>
      <c r="F45" s="89">
        <v>0</v>
      </c>
      <c r="G45" s="87">
        <v>2826</v>
      </c>
      <c r="H45" s="89">
        <v>0</v>
      </c>
      <c r="I45" s="111">
        <v>2810</v>
      </c>
      <c r="J45" s="111">
        <v>0</v>
      </c>
      <c r="K45" s="111">
        <v>3452</v>
      </c>
      <c r="L45" s="111">
        <v>16994</v>
      </c>
      <c r="M45" s="113" t="s">
        <v>110</v>
      </c>
      <c r="N45" s="115" t="s">
        <v>473</v>
      </c>
      <c r="O45" s="110">
        <v>492</v>
      </c>
      <c r="P45" s="106"/>
      <c r="Q45" s="107"/>
    </row>
    <row r="46" spans="1:17" ht="10.5" customHeight="1">
      <c r="A46" s="90"/>
      <c r="B46" s="91"/>
      <c r="C46" s="95">
        <v>493</v>
      </c>
      <c r="D46" s="82" t="s">
        <v>420</v>
      </c>
      <c r="E46" s="84">
        <v>6758</v>
      </c>
      <c r="F46" s="87">
        <v>685</v>
      </c>
      <c r="G46" s="87">
        <v>11386</v>
      </c>
      <c r="H46" s="87">
        <v>678</v>
      </c>
      <c r="I46" s="111">
        <v>12186</v>
      </c>
      <c r="J46" s="111">
        <v>688</v>
      </c>
      <c r="K46" s="111">
        <v>24246</v>
      </c>
      <c r="L46" s="111">
        <v>85792</v>
      </c>
      <c r="M46" s="113" t="s">
        <v>110</v>
      </c>
      <c r="N46" s="115" t="s">
        <v>474</v>
      </c>
      <c r="O46" s="110">
        <v>493</v>
      </c>
      <c r="P46" s="106"/>
      <c r="Q46" s="107"/>
    </row>
    <row r="47" spans="1:17" ht="10.5" customHeight="1">
      <c r="A47" s="90"/>
      <c r="B47" s="91"/>
      <c r="C47" s="95">
        <v>494</v>
      </c>
      <c r="D47" s="82" t="s">
        <v>421</v>
      </c>
      <c r="E47" s="84">
        <v>7830</v>
      </c>
      <c r="F47" s="87">
        <v>21</v>
      </c>
      <c r="G47" s="87">
        <v>55488</v>
      </c>
      <c r="H47" s="87">
        <v>19</v>
      </c>
      <c r="I47" s="111">
        <v>53732</v>
      </c>
      <c r="J47" s="111">
        <v>34</v>
      </c>
      <c r="K47" s="111">
        <v>64733</v>
      </c>
      <c r="L47" s="111">
        <v>333977</v>
      </c>
      <c r="M47" s="113" t="s">
        <v>110</v>
      </c>
      <c r="N47" s="115" t="s">
        <v>475</v>
      </c>
      <c r="O47" s="110">
        <v>494</v>
      </c>
      <c r="P47" s="106"/>
      <c r="Q47" s="107"/>
    </row>
    <row r="48" spans="1:17" ht="10.5" customHeight="1">
      <c r="A48" s="90"/>
      <c r="B48" s="91"/>
      <c r="C48" s="95">
        <v>499</v>
      </c>
      <c r="D48" s="82" t="s">
        <v>422</v>
      </c>
      <c r="E48" s="84">
        <v>114</v>
      </c>
      <c r="F48" s="87">
        <v>3</v>
      </c>
      <c r="G48" s="87">
        <v>137</v>
      </c>
      <c r="H48" s="87">
        <v>3</v>
      </c>
      <c r="I48" s="111">
        <v>138</v>
      </c>
      <c r="J48" s="111">
        <v>3</v>
      </c>
      <c r="K48" s="111">
        <v>161</v>
      </c>
      <c r="L48" s="111">
        <v>811</v>
      </c>
      <c r="M48" s="113" t="s">
        <v>110</v>
      </c>
      <c r="N48" s="115" t="s">
        <v>476</v>
      </c>
      <c r="O48" s="110">
        <v>499</v>
      </c>
      <c r="P48" s="106"/>
      <c r="Q48" s="107"/>
    </row>
    <row r="49" spans="1:17" ht="10.5" customHeight="1">
      <c r="A49" s="90"/>
      <c r="B49" s="94">
        <v>50</v>
      </c>
      <c r="C49" s="95"/>
      <c r="D49" s="82" t="s">
        <v>423</v>
      </c>
      <c r="E49" s="84">
        <v>427</v>
      </c>
      <c r="F49" s="87">
        <v>4140</v>
      </c>
      <c r="G49" s="87">
        <v>8719</v>
      </c>
      <c r="H49" s="87">
        <v>5169</v>
      </c>
      <c r="I49" s="111">
        <v>7929</v>
      </c>
      <c r="J49" s="111">
        <v>5000</v>
      </c>
      <c r="K49" s="111">
        <v>91019</v>
      </c>
      <c r="L49" s="111">
        <v>178859</v>
      </c>
      <c r="M49" s="113" t="s">
        <v>110</v>
      </c>
      <c r="N49" s="115" t="s">
        <v>477</v>
      </c>
      <c r="O49" s="110"/>
      <c r="P49" s="109">
        <v>50</v>
      </c>
      <c r="Q49" s="107"/>
    </row>
    <row r="50" spans="1:17" ht="10.5" customHeight="1">
      <c r="A50" s="90"/>
      <c r="B50" s="91"/>
      <c r="C50" s="95">
        <v>501</v>
      </c>
      <c r="D50" s="82" t="s">
        <v>424</v>
      </c>
      <c r="E50" s="84">
        <v>355</v>
      </c>
      <c r="F50" s="87">
        <v>4139</v>
      </c>
      <c r="G50" s="87">
        <v>8536</v>
      </c>
      <c r="H50" s="87">
        <v>5167</v>
      </c>
      <c r="I50" s="111">
        <v>7668</v>
      </c>
      <c r="J50" s="111">
        <v>4998</v>
      </c>
      <c r="K50" s="111">
        <v>90722</v>
      </c>
      <c r="L50" s="111">
        <v>177763</v>
      </c>
      <c r="M50" s="113" t="s">
        <v>110</v>
      </c>
      <c r="N50" s="115" t="s">
        <v>478</v>
      </c>
      <c r="O50" s="110">
        <v>501</v>
      </c>
      <c r="P50" s="106"/>
      <c r="Q50" s="107"/>
    </row>
    <row r="51" spans="1:17" ht="10.5" customHeight="1">
      <c r="A51" s="90"/>
      <c r="B51" s="91"/>
      <c r="C51" s="95">
        <v>502</v>
      </c>
      <c r="D51" s="82" t="s">
        <v>425</v>
      </c>
      <c r="E51" s="84">
        <v>72</v>
      </c>
      <c r="F51" s="87">
        <v>2</v>
      </c>
      <c r="G51" s="87">
        <v>183</v>
      </c>
      <c r="H51" s="87">
        <v>2</v>
      </c>
      <c r="I51" s="111">
        <v>260</v>
      </c>
      <c r="J51" s="111">
        <v>2</v>
      </c>
      <c r="K51" s="111">
        <v>296</v>
      </c>
      <c r="L51" s="111">
        <v>1097</v>
      </c>
      <c r="M51" s="113" t="s">
        <v>110</v>
      </c>
      <c r="N51" s="115" t="s">
        <v>479</v>
      </c>
      <c r="O51" s="110">
        <v>502</v>
      </c>
      <c r="P51" s="106"/>
      <c r="Q51" s="107"/>
    </row>
    <row r="52" spans="1:17" ht="10.5" customHeight="1">
      <c r="A52" s="90"/>
      <c r="B52" s="94">
        <v>51</v>
      </c>
      <c r="C52" s="95"/>
      <c r="D52" s="82" t="s">
        <v>426</v>
      </c>
      <c r="E52" s="84">
        <v>151</v>
      </c>
      <c r="F52" s="87">
        <v>7721</v>
      </c>
      <c r="G52" s="87">
        <v>34497</v>
      </c>
      <c r="H52" s="87">
        <v>9055</v>
      </c>
      <c r="I52" s="111">
        <v>30332</v>
      </c>
      <c r="J52" s="111">
        <v>8505</v>
      </c>
      <c r="K52" s="111">
        <v>33791</v>
      </c>
      <c r="L52" s="111">
        <v>233988</v>
      </c>
      <c r="M52" s="113" t="s">
        <v>110</v>
      </c>
      <c r="N52" s="115" t="s">
        <v>480</v>
      </c>
      <c r="O52" s="110"/>
      <c r="P52" s="109">
        <v>51</v>
      </c>
      <c r="Q52" s="107"/>
    </row>
    <row r="53" spans="1:17" ht="10.5" customHeight="1">
      <c r="A53" s="90"/>
      <c r="B53" s="91"/>
      <c r="C53" s="95">
        <v>510</v>
      </c>
      <c r="D53" s="82" t="s">
        <v>427</v>
      </c>
      <c r="E53" s="84">
        <v>151</v>
      </c>
      <c r="F53" s="87">
        <v>7721</v>
      </c>
      <c r="G53" s="87">
        <v>34497</v>
      </c>
      <c r="H53" s="87">
        <v>9055</v>
      </c>
      <c r="I53" s="111">
        <v>30332</v>
      </c>
      <c r="J53" s="111">
        <v>8505</v>
      </c>
      <c r="K53" s="111">
        <v>33791</v>
      </c>
      <c r="L53" s="111">
        <v>233988</v>
      </c>
      <c r="M53" s="113" t="s">
        <v>110</v>
      </c>
      <c r="N53" s="115" t="s">
        <v>481</v>
      </c>
      <c r="O53" s="110">
        <v>510</v>
      </c>
      <c r="P53" s="106"/>
      <c r="Q53" s="107"/>
    </row>
    <row r="54" spans="1:17" ht="10.5" customHeight="1">
      <c r="A54" s="90"/>
      <c r="B54" s="94">
        <v>52</v>
      </c>
      <c r="C54" s="95"/>
      <c r="D54" s="82" t="s">
        <v>428</v>
      </c>
      <c r="E54" s="84">
        <v>19711</v>
      </c>
      <c r="F54" s="87">
        <v>4068</v>
      </c>
      <c r="G54" s="87">
        <v>83174</v>
      </c>
      <c r="H54" s="87">
        <v>4255</v>
      </c>
      <c r="I54" s="111">
        <v>78086</v>
      </c>
      <c r="J54" s="111">
        <v>5043</v>
      </c>
      <c r="K54" s="111">
        <v>122866</v>
      </c>
      <c r="L54" s="111">
        <v>550019</v>
      </c>
      <c r="M54" s="113" t="s">
        <v>110</v>
      </c>
      <c r="N54" s="115" t="s">
        <v>482</v>
      </c>
      <c r="O54" s="110"/>
      <c r="P54" s="109">
        <v>52</v>
      </c>
      <c r="Q54" s="107"/>
    </row>
    <row r="55" spans="1:17" ht="10.5" customHeight="1">
      <c r="A55" s="90"/>
      <c r="B55" s="91"/>
      <c r="C55" s="95">
        <v>521</v>
      </c>
      <c r="D55" s="82" t="s">
        <v>429</v>
      </c>
      <c r="E55" s="84">
        <v>1177</v>
      </c>
      <c r="F55" s="87">
        <v>20</v>
      </c>
      <c r="G55" s="87">
        <v>8101</v>
      </c>
      <c r="H55" s="87">
        <v>26</v>
      </c>
      <c r="I55" s="111">
        <v>6493</v>
      </c>
      <c r="J55" s="111">
        <v>24</v>
      </c>
      <c r="K55" s="111">
        <v>9032</v>
      </c>
      <c r="L55" s="111">
        <v>45337</v>
      </c>
      <c r="M55" s="113" t="s">
        <v>110</v>
      </c>
      <c r="N55" s="115" t="s">
        <v>483</v>
      </c>
      <c r="O55" s="110">
        <v>521</v>
      </c>
      <c r="P55" s="106"/>
      <c r="Q55" s="107"/>
    </row>
    <row r="56" spans="1:17" ht="5.0999999999999996" customHeight="1" thickBot="1">
      <c r="A56" s="23"/>
      <c r="B56" s="25"/>
      <c r="C56" s="25"/>
      <c r="D56" s="13"/>
      <c r="E56" s="17"/>
      <c r="F56" s="9"/>
      <c r="G56" s="9"/>
      <c r="H56" s="15"/>
      <c r="I56" s="13"/>
      <c r="J56" s="11"/>
      <c r="K56" s="11"/>
      <c r="L56" s="11"/>
      <c r="M56" s="37"/>
      <c r="N56" s="39"/>
      <c r="O56" s="9"/>
      <c r="P56" s="9"/>
      <c r="Q56" s="7"/>
    </row>
    <row r="58" spans="1:17" ht="15" customHeight="1"/>
  </sheetData>
  <mergeCells count="12">
    <mergeCell ref="O3:O6"/>
    <mergeCell ref="N3:N6"/>
    <mergeCell ref="I1:Q1"/>
    <mergeCell ref="A1:H1"/>
    <mergeCell ref="Q3:Q6"/>
    <mergeCell ref="F3:H3"/>
    <mergeCell ref="I3:M3"/>
    <mergeCell ref="A3:A6"/>
    <mergeCell ref="B3:B6"/>
    <mergeCell ref="C3:C6"/>
    <mergeCell ref="D3:D6"/>
    <mergeCell ref="P3:P6"/>
  </mergeCells>
  <phoneticPr fontId="2" type="noConversion"/>
  <printOptions horizontalCentered="1"/>
  <pageMargins left="0.78740157480314965" right="0.78740157480314965" top="0.59055118110236227" bottom="1.1811023622047245" header="0.39370078740157483" footer="1.1811023622047245"/>
  <pageSetup paperSize="9" firstPageNumber="98" orientation="portrait" useFirstPageNumber="1" horizontalDpi="4294967292" r:id="rId1"/>
  <headerFooter alignWithMargins="0">
    <oddFooter>&amp;C&amp;10  - &amp;P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3"/>
  <sheetViews>
    <sheetView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541</v>
      </c>
      <c r="B1" s="48"/>
      <c r="C1" s="48"/>
      <c r="D1" s="48"/>
      <c r="E1" s="48"/>
      <c r="F1" s="48"/>
      <c r="G1" s="48"/>
      <c r="H1" s="48"/>
      <c r="I1" s="47" t="s">
        <v>595</v>
      </c>
      <c r="J1" s="47"/>
      <c r="K1" s="47"/>
      <c r="L1" s="47"/>
      <c r="M1" s="47"/>
      <c r="N1" s="47"/>
      <c r="O1" s="47"/>
      <c r="P1" s="47"/>
      <c r="Q1" s="47"/>
    </row>
    <row r="2" spans="1:17" ht="15" customHeight="1" thickBot="1">
      <c r="A2" s="16"/>
      <c r="B2" s="16"/>
      <c r="C2" s="16"/>
      <c r="D2" s="16"/>
      <c r="E2" s="1"/>
      <c r="F2" s="18"/>
      <c r="G2" s="18"/>
      <c r="H2" s="19" t="s">
        <v>39</v>
      </c>
      <c r="J2" s="1"/>
      <c r="K2" s="1"/>
      <c r="L2" s="1"/>
      <c r="M2" s="1"/>
      <c r="N2" s="26"/>
      <c r="O2" s="26"/>
      <c r="P2" s="26"/>
      <c r="Q2" s="35" t="s">
        <v>27</v>
      </c>
    </row>
    <row r="3" spans="1:17" ht="12" customHeight="1">
      <c r="A3" s="58" t="s">
        <v>35</v>
      </c>
      <c r="B3" s="61" t="s">
        <v>36</v>
      </c>
      <c r="C3" s="61" t="s">
        <v>1</v>
      </c>
      <c r="D3" s="67" t="s">
        <v>9</v>
      </c>
      <c r="E3" s="21" t="s">
        <v>10</v>
      </c>
      <c r="F3" s="53" t="s">
        <v>11</v>
      </c>
      <c r="G3" s="54"/>
      <c r="H3" s="55"/>
      <c r="I3" s="78" t="s">
        <v>12</v>
      </c>
      <c r="J3" s="78"/>
      <c r="K3" s="78"/>
      <c r="L3" s="78"/>
      <c r="M3" s="79"/>
      <c r="N3" s="75" t="s">
        <v>13</v>
      </c>
      <c r="O3" s="74" t="s">
        <v>14</v>
      </c>
      <c r="P3" s="70" t="s">
        <v>15</v>
      </c>
      <c r="Q3" s="49" t="s">
        <v>16</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0.5" customHeight="1">
      <c r="A8" s="90"/>
      <c r="B8" s="91"/>
      <c r="C8" s="95">
        <v>522</v>
      </c>
      <c r="D8" s="82" t="s">
        <v>540</v>
      </c>
      <c r="E8" s="84">
        <v>326</v>
      </c>
      <c r="F8" s="87">
        <v>3304</v>
      </c>
      <c r="G8" s="87">
        <v>9162</v>
      </c>
      <c r="H8" s="87">
        <v>3402</v>
      </c>
      <c r="I8" s="111">
        <v>8498</v>
      </c>
      <c r="J8" s="111">
        <v>3523</v>
      </c>
      <c r="K8" s="111">
        <v>38171</v>
      </c>
      <c r="L8" s="111">
        <v>103811</v>
      </c>
      <c r="M8" s="113" t="s">
        <v>110</v>
      </c>
      <c r="N8" s="115" t="s">
        <v>542</v>
      </c>
      <c r="O8" s="110">
        <v>522</v>
      </c>
      <c r="P8" s="106"/>
      <c r="Q8" s="107"/>
    </row>
    <row r="9" spans="1:17" ht="10.5" customHeight="1">
      <c r="A9" s="90"/>
      <c r="B9" s="91"/>
      <c r="C9" s="95">
        <v>523</v>
      </c>
      <c r="D9" s="82" t="s">
        <v>485</v>
      </c>
      <c r="E9" s="84">
        <v>1704</v>
      </c>
      <c r="F9" s="87">
        <v>298</v>
      </c>
      <c r="G9" s="87">
        <v>25707</v>
      </c>
      <c r="H9" s="87">
        <v>370</v>
      </c>
      <c r="I9" s="111">
        <v>25531</v>
      </c>
      <c r="J9" s="111">
        <v>402</v>
      </c>
      <c r="K9" s="111">
        <v>27397</v>
      </c>
      <c r="L9" s="111">
        <v>159436</v>
      </c>
      <c r="M9" s="113" t="s">
        <v>110</v>
      </c>
      <c r="N9" s="115" t="s">
        <v>543</v>
      </c>
      <c r="O9" s="110">
        <v>523</v>
      </c>
      <c r="P9" s="106"/>
      <c r="Q9" s="107"/>
    </row>
    <row r="10" spans="1:17" ht="10.5" customHeight="1">
      <c r="A10" s="90"/>
      <c r="B10" s="91"/>
      <c r="C10" s="95">
        <v>524</v>
      </c>
      <c r="D10" s="82" t="s">
        <v>486</v>
      </c>
      <c r="E10" s="84">
        <v>13488</v>
      </c>
      <c r="F10" s="87">
        <v>380</v>
      </c>
      <c r="G10" s="87">
        <v>24997</v>
      </c>
      <c r="H10" s="87">
        <v>407</v>
      </c>
      <c r="I10" s="111">
        <v>23840</v>
      </c>
      <c r="J10" s="111">
        <v>402</v>
      </c>
      <c r="K10" s="111">
        <v>27457</v>
      </c>
      <c r="L10" s="111">
        <v>148515</v>
      </c>
      <c r="M10" s="113" t="s">
        <v>110</v>
      </c>
      <c r="N10" s="115" t="s">
        <v>544</v>
      </c>
      <c r="O10" s="110">
        <v>524</v>
      </c>
      <c r="P10" s="106"/>
      <c r="Q10" s="107"/>
    </row>
    <row r="11" spans="1:17" ht="10.5" customHeight="1">
      <c r="A11" s="90"/>
      <c r="B11" s="91"/>
      <c r="C11" s="95">
        <v>525</v>
      </c>
      <c r="D11" s="82" t="s">
        <v>487</v>
      </c>
      <c r="E11" s="84">
        <v>618</v>
      </c>
      <c r="F11" s="87">
        <v>2</v>
      </c>
      <c r="G11" s="87">
        <v>4377</v>
      </c>
      <c r="H11" s="87">
        <v>3</v>
      </c>
      <c r="I11" s="111">
        <v>4350</v>
      </c>
      <c r="J11" s="111">
        <v>6</v>
      </c>
      <c r="K11" s="111">
        <v>4450</v>
      </c>
      <c r="L11" s="111">
        <v>25343</v>
      </c>
      <c r="M11" s="113" t="s">
        <v>110</v>
      </c>
      <c r="N11" s="115" t="s">
        <v>545</v>
      </c>
      <c r="O11" s="110">
        <v>525</v>
      </c>
      <c r="P11" s="106"/>
      <c r="Q11" s="107"/>
    </row>
    <row r="12" spans="1:17" ht="10.5" customHeight="1">
      <c r="A12" s="90"/>
      <c r="B12" s="91"/>
      <c r="C12" s="95">
        <v>526</v>
      </c>
      <c r="D12" s="82" t="s">
        <v>488</v>
      </c>
      <c r="E12" s="84">
        <v>41</v>
      </c>
      <c r="F12" s="89">
        <v>0</v>
      </c>
      <c r="G12" s="87">
        <v>1382</v>
      </c>
      <c r="H12" s="89">
        <v>0</v>
      </c>
      <c r="I12" s="111">
        <v>1108</v>
      </c>
      <c r="J12" s="117">
        <v>0</v>
      </c>
      <c r="K12" s="111">
        <v>1218</v>
      </c>
      <c r="L12" s="111">
        <v>6792</v>
      </c>
      <c r="M12" s="113" t="s">
        <v>110</v>
      </c>
      <c r="N12" s="115" t="s">
        <v>546</v>
      </c>
      <c r="O12" s="110">
        <v>526</v>
      </c>
      <c r="P12" s="106"/>
      <c r="Q12" s="107"/>
    </row>
    <row r="13" spans="1:17" ht="10.5" customHeight="1">
      <c r="A13" s="90"/>
      <c r="B13" s="91"/>
      <c r="C13" s="95">
        <v>529</v>
      </c>
      <c r="D13" s="82" t="s">
        <v>489</v>
      </c>
      <c r="E13" s="84">
        <v>2357</v>
      </c>
      <c r="F13" s="87">
        <v>64</v>
      </c>
      <c r="G13" s="87">
        <v>9448</v>
      </c>
      <c r="H13" s="87">
        <v>48</v>
      </c>
      <c r="I13" s="111">
        <v>8266</v>
      </c>
      <c r="J13" s="111">
        <v>687</v>
      </c>
      <c r="K13" s="111">
        <v>15141</v>
      </c>
      <c r="L13" s="111">
        <v>60784</v>
      </c>
      <c r="M13" s="113" t="s">
        <v>110</v>
      </c>
      <c r="N13" s="115" t="s">
        <v>547</v>
      </c>
      <c r="O13" s="110">
        <v>529</v>
      </c>
      <c r="P13" s="106"/>
      <c r="Q13" s="107"/>
    </row>
    <row r="14" spans="1:17" ht="10.5" customHeight="1">
      <c r="A14" s="90"/>
      <c r="B14" s="94">
        <v>53</v>
      </c>
      <c r="C14" s="95"/>
      <c r="D14" s="82" t="s">
        <v>490</v>
      </c>
      <c r="E14" s="84">
        <v>1068</v>
      </c>
      <c r="F14" s="87">
        <v>144</v>
      </c>
      <c r="G14" s="87">
        <v>21627</v>
      </c>
      <c r="H14" s="87">
        <v>159</v>
      </c>
      <c r="I14" s="111">
        <v>20424</v>
      </c>
      <c r="J14" s="111">
        <v>146</v>
      </c>
      <c r="K14" s="111">
        <v>26708</v>
      </c>
      <c r="L14" s="111">
        <v>124132</v>
      </c>
      <c r="M14" s="113" t="s">
        <v>110</v>
      </c>
      <c r="N14" s="115" t="s">
        <v>548</v>
      </c>
      <c r="O14" s="110"/>
      <c r="P14" s="109">
        <v>53</v>
      </c>
      <c r="Q14" s="107"/>
    </row>
    <row r="15" spans="1:17" ht="10.5" customHeight="1">
      <c r="A15" s="90"/>
      <c r="B15" s="91"/>
      <c r="C15" s="95">
        <v>530</v>
      </c>
      <c r="D15" s="82" t="s">
        <v>491</v>
      </c>
      <c r="E15" s="84">
        <v>1068</v>
      </c>
      <c r="F15" s="87">
        <v>144</v>
      </c>
      <c r="G15" s="87">
        <v>21627</v>
      </c>
      <c r="H15" s="87">
        <v>159</v>
      </c>
      <c r="I15" s="111">
        <v>20424</v>
      </c>
      <c r="J15" s="111">
        <v>146</v>
      </c>
      <c r="K15" s="111">
        <v>26708</v>
      </c>
      <c r="L15" s="111">
        <v>124132</v>
      </c>
      <c r="M15" s="113" t="s">
        <v>110</v>
      </c>
      <c r="N15" s="115" t="s">
        <v>549</v>
      </c>
      <c r="O15" s="110">
        <v>530</v>
      </c>
      <c r="P15" s="106"/>
      <c r="Q15" s="107"/>
    </row>
    <row r="16" spans="1:17" ht="10.5" customHeight="1">
      <c r="A16" s="90"/>
      <c r="B16" s="94">
        <v>54</v>
      </c>
      <c r="C16" s="95"/>
      <c r="D16" s="82" t="s">
        <v>492</v>
      </c>
      <c r="E16" s="84">
        <v>901</v>
      </c>
      <c r="F16" s="87">
        <v>2</v>
      </c>
      <c r="G16" s="87">
        <v>4019</v>
      </c>
      <c r="H16" s="87">
        <v>2</v>
      </c>
      <c r="I16" s="111">
        <v>4031</v>
      </c>
      <c r="J16" s="111">
        <v>21</v>
      </c>
      <c r="K16" s="111">
        <v>4310</v>
      </c>
      <c r="L16" s="111">
        <v>24087</v>
      </c>
      <c r="M16" s="113" t="s">
        <v>110</v>
      </c>
      <c r="N16" s="115" t="s">
        <v>550</v>
      </c>
      <c r="O16" s="110"/>
      <c r="P16" s="109">
        <v>54</v>
      </c>
      <c r="Q16" s="107"/>
    </row>
    <row r="17" spans="1:17" ht="10.5" customHeight="1">
      <c r="A17" s="90"/>
      <c r="B17" s="91"/>
      <c r="C17" s="95">
        <v>541</v>
      </c>
      <c r="D17" s="82" t="s">
        <v>493</v>
      </c>
      <c r="E17" s="84">
        <v>557</v>
      </c>
      <c r="F17" s="87">
        <v>1</v>
      </c>
      <c r="G17" s="87">
        <v>2362</v>
      </c>
      <c r="H17" s="87">
        <v>1</v>
      </c>
      <c r="I17" s="111">
        <v>2301</v>
      </c>
      <c r="J17" s="111">
        <v>1</v>
      </c>
      <c r="K17" s="111">
        <v>2449</v>
      </c>
      <c r="L17" s="111">
        <v>14044</v>
      </c>
      <c r="M17" s="113" t="s">
        <v>110</v>
      </c>
      <c r="N17" s="115" t="s">
        <v>551</v>
      </c>
      <c r="O17" s="110">
        <v>541</v>
      </c>
      <c r="P17" s="106"/>
      <c r="Q17" s="107"/>
    </row>
    <row r="18" spans="1:17" ht="10.5" customHeight="1">
      <c r="A18" s="90"/>
      <c r="B18" s="91"/>
      <c r="C18" s="95">
        <v>542</v>
      </c>
      <c r="D18" s="82" t="s">
        <v>494</v>
      </c>
      <c r="E18" s="84">
        <v>344</v>
      </c>
      <c r="F18" s="87">
        <v>2</v>
      </c>
      <c r="G18" s="87">
        <v>1657</v>
      </c>
      <c r="H18" s="87">
        <v>2</v>
      </c>
      <c r="I18" s="111">
        <v>1730</v>
      </c>
      <c r="J18" s="111">
        <v>20</v>
      </c>
      <c r="K18" s="111">
        <v>1862</v>
      </c>
      <c r="L18" s="111">
        <v>10043</v>
      </c>
      <c r="M18" s="113" t="s">
        <v>110</v>
      </c>
      <c r="N18" s="115" t="s">
        <v>552</v>
      </c>
      <c r="O18" s="110">
        <v>542</v>
      </c>
      <c r="P18" s="106"/>
      <c r="Q18" s="107"/>
    </row>
    <row r="19" spans="1:17" ht="14.1" customHeight="1">
      <c r="A19" s="93" t="s">
        <v>537</v>
      </c>
      <c r="B19" s="91"/>
      <c r="C19" s="95"/>
      <c r="D19" s="83" t="s">
        <v>495</v>
      </c>
      <c r="E19" s="85">
        <v>182739</v>
      </c>
      <c r="F19" s="88">
        <v>17048</v>
      </c>
      <c r="G19" s="88">
        <v>147308</v>
      </c>
      <c r="H19" s="88">
        <v>15423</v>
      </c>
      <c r="I19" s="112">
        <v>142342</v>
      </c>
      <c r="J19" s="112">
        <v>15903</v>
      </c>
      <c r="K19" s="112">
        <v>156003</v>
      </c>
      <c r="L19" s="112">
        <v>957333</v>
      </c>
      <c r="M19" s="114" t="s">
        <v>110</v>
      </c>
      <c r="N19" s="116" t="s">
        <v>553</v>
      </c>
      <c r="O19" s="110"/>
      <c r="P19" s="106"/>
      <c r="Q19" s="108" t="s">
        <v>537</v>
      </c>
    </row>
    <row r="20" spans="1:17" ht="10.5" customHeight="1">
      <c r="A20" s="90"/>
      <c r="B20" s="94">
        <v>55</v>
      </c>
      <c r="C20" s="95"/>
      <c r="D20" s="82" t="s">
        <v>496</v>
      </c>
      <c r="E20" s="84">
        <v>13214</v>
      </c>
      <c r="F20" s="87">
        <v>728</v>
      </c>
      <c r="G20" s="87">
        <v>26863</v>
      </c>
      <c r="H20" s="87">
        <v>571</v>
      </c>
      <c r="I20" s="111">
        <v>26062</v>
      </c>
      <c r="J20" s="111">
        <v>579</v>
      </c>
      <c r="K20" s="111">
        <v>34991</v>
      </c>
      <c r="L20" s="111">
        <v>170559</v>
      </c>
      <c r="M20" s="113" t="s">
        <v>110</v>
      </c>
      <c r="N20" s="115" t="s">
        <v>554</v>
      </c>
      <c r="O20" s="110"/>
      <c r="P20" s="109">
        <v>55</v>
      </c>
      <c r="Q20" s="107"/>
    </row>
    <row r="21" spans="1:17" ht="10.5" customHeight="1">
      <c r="A21" s="90"/>
      <c r="B21" s="91"/>
      <c r="C21" s="95">
        <v>551</v>
      </c>
      <c r="D21" s="82" t="s">
        <v>497</v>
      </c>
      <c r="E21" s="84">
        <v>10769</v>
      </c>
      <c r="F21" s="87">
        <v>608</v>
      </c>
      <c r="G21" s="87">
        <v>26218</v>
      </c>
      <c r="H21" s="87">
        <v>449</v>
      </c>
      <c r="I21" s="111">
        <v>25445</v>
      </c>
      <c r="J21" s="111">
        <v>454</v>
      </c>
      <c r="K21" s="111">
        <v>34192</v>
      </c>
      <c r="L21" s="111">
        <v>165888</v>
      </c>
      <c r="M21" s="113" t="s">
        <v>110</v>
      </c>
      <c r="N21" s="115" t="s">
        <v>555</v>
      </c>
      <c r="O21" s="110">
        <v>551</v>
      </c>
      <c r="P21" s="106"/>
      <c r="Q21" s="107"/>
    </row>
    <row r="22" spans="1:17" ht="10.5" customHeight="1">
      <c r="A22" s="90"/>
      <c r="B22" s="91"/>
      <c r="C22" s="95">
        <v>559</v>
      </c>
      <c r="D22" s="82" t="s">
        <v>498</v>
      </c>
      <c r="E22" s="84">
        <v>2445</v>
      </c>
      <c r="F22" s="87">
        <v>120</v>
      </c>
      <c r="G22" s="87">
        <v>645</v>
      </c>
      <c r="H22" s="87">
        <v>122</v>
      </c>
      <c r="I22" s="111">
        <v>617</v>
      </c>
      <c r="J22" s="111">
        <v>126</v>
      </c>
      <c r="K22" s="111">
        <v>799</v>
      </c>
      <c r="L22" s="111">
        <v>4671</v>
      </c>
      <c r="M22" s="113" t="s">
        <v>110</v>
      </c>
      <c r="N22" s="115" t="s">
        <v>556</v>
      </c>
      <c r="O22" s="110">
        <v>559</v>
      </c>
      <c r="P22" s="106"/>
      <c r="Q22" s="107"/>
    </row>
    <row r="23" spans="1:17" ht="10.5" customHeight="1">
      <c r="A23" s="90"/>
      <c r="B23" s="94">
        <v>56</v>
      </c>
      <c r="C23" s="95"/>
      <c r="D23" s="82" t="s">
        <v>499</v>
      </c>
      <c r="E23" s="84">
        <v>169525</v>
      </c>
      <c r="F23" s="87">
        <v>16320</v>
      </c>
      <c r="G23" s="87">
        <v>120445</v>
      </c>
      <c r="H23" s="87">
        <v>14853</v>
      </c>
      <c r="I23" s="111">
        <v>116280</v>
      </c>
      <c r="J23" s="111">
        <v>15324</v>
      </c>
      <c r="K23" s="111">
        <v>121012</v>
      </c>
      <c r="L23" s="111">
        <v>786774</v>
      </c>
      <c r="M23" s="113" t="s">
        <v>110</v>
      </c>
      <c r="N23" s="115" t="s">
        <v>557</v>
      </c>
      <c r="O23" s="110"/>
      <c r="P23" s="109">
        <v>56</v>
      </c>
      <c r="Q23" s="107"/>
    </row>
    <row r="24" spans="1:17" ht="10.5" customHeight="1">
      <c r="A24" s="90"/>
      <c r="B24" s="91"/>
      <c r="C24" s="95">
        <v>561</v>
      </c>
      <c r="D24" s="82" t="s">
        <v>500</v>
      </c>
      <c r="E24" s="84">
        <v>138729</v>
      </c>
      <c r="F24" s="87">
        <v>13625</v>
      </c>
      <c r="G24" s="87">
        <v>100885</v>
      </c>
      <c r="H24" s="87">
        <v>12821</v>
      </c>
      <c r="I24" s="111">
        <v>96829</v>
      </c>
      <c r="J24" s="111">
        <v>13159</v>
      </c>
      <c r="K24" s="111">
        <v>101030</v>
      </c>
      <c r="L24" s="111">
        <v>659658</v>
      </c>
      <c r="M24" s="113" t="s">
        <v>110</v>
      </c>
      <c r="N24" s="115" t="s">
        <v>558</v>
      </c>
      <c r="O24" s="110">
        <v>561</v>
      </c>
      <c r="P24" s="106"/>
      <c r="Q24" s="107"/>
    </row>
    <row r="25" spans="1:17" ht="10.5" customHeight="1">
      <c r="A25" s="90"/>
      <c r="B25" s="91"/>
      <c r="C25" s="95">
        <v>562</v>
      </c>
      <c r="D25" s="82" t="s">
        <v>501</v>
      </c>
      <c r="E25" s="84">
        <v>2222</v>
      </c>
      <c r="F25" s="87">
        <v>1146</v>
      </c>
      <c r="G25" s="87">
        <v>3606</v>
      </c>
      <c r="H25" s="87">
        <v>458</v>
      </c>
      <c r="I25" s="111">
        <v>3801</v>
      </c>
      <c r="J25" s="111">
        <v>578</v>
      </c>
      <c r="K25" s="111">
        <v>4363</v>
      </c>
      <c r="L25" s="111">
        <v>26889</v>
      </c>
      <c r="M25" s="113" t="s">
        <v>110</v>
      </c>
      <c r="N25" s="115" t="s">
        <v>559</v>
      </c>
      <c r="O25" s="110">
        <v>562</v>
      </c>
      <c r="P25" s="106"/>
      <c r="Q25" s="107"/>
    </row>
    <row r="26" spans="1:17" ht="10.5" customHeight="1">
      <c r="A26" s="90"/>
      <c r="B26" s="91"/>
      <c r="C26" s="95">
        <v>563</v>
      </c>
      <c r="D26" s="82" t="s">
        <v>502</v>
      </c>
      <c r="E26" s="84">
        <v>28574</v>
      </c>
      <c r="F26" s="87">
        <v>1549</v>
      </c>
      <c r="G26" s="87">
        <v>15954</v>
      </c>
      <c r="H26" s="87">
        <v>1574</v>
      </c>
      <c r="I26" s="111">
        <v>15649</v>
      </c>
      <c r="J26" s="111">
        <v>1587</v>
      </c>
      <c r="K26" s="111">
        <v>15620</v>
      </c>
      <c r="L26" s="111">
        <v>100227</v>
      </c>
      <c r="M26" s="113" t="s">
        <v>110</v>
      </c>
      <c r="N26" s="115" t="s">
        <v>560</v>
      </c>
      <c r="O26" s="110">
        <v>563</v>
      </c>
      <c r="P26" s="106"/>
      <c r="Q26" s="107"/>
    </row>
    <row r="27" spans="1:17" ht="14.1" customHeight="1">
      <c r="A27" s="93" t="s">
        <v>538</v>
      </c>
      <c r="B27" s="91"/>
      <c r="C27" s="95"/>
      <c r="D27" s="83" t="s">
        <v>503</v>
      </c>
      <c r="E27" s="85">
        <v>27142</v>
      </c>
      <c r="F27" s="88">
        <v>982</v>
      </c>
      <c r="G27" s="88">
        <v>282723</v>
      </c>
      <c r="H27" s="88">
        <v>1625</v>
      </c>
      <c r="I27" s="112">
        <v>289657</v>
      </c>
      <c r="J27" s="112">
        <v>1396</v>
      </c>
      <c r="K27" s="112">
        <v>348513</v>
      </c>
      <c r="L27" s="112">
        <v>1746298</v>
      </c>
      <c r="M27" s="114" t="s">
        <v>110</v>
      </c>
      <c r="N27" s="116" t="s">
        <v>561</v>
      </c>
      <c r="O27" s="110"/>
      <c r="P27" s="106"/>
      <c r="Q27" s="108" t="s">
        <v>538</v>
      </c>
    </row>
    <row r="28" spans="1:17" ht="10.5" customHeight="1">
      <c r="A28" s="90"/>
      <c r="B28" s="94">
        <v>58</v>
      </c>
      <c r="C28" s="95"/>
      <c r="D28" s="82" t="s">
        <v>504</v>
      </c>
      <c r="E28" s="84">
        <v>4371</v>
      </c>
      <c r="F28" s="87">
        <v>24</v>
      </c>
      <c r="G28" s="87">
        <v>11974</v>
      </c>
      <c r="H28" s="87">
        <v>38</v>
      </c>
      <c r="I28" s="111">
        <v>12530</v>
      </c>
      <c r="J28" s="111">
        <v>51</v>
      </c>
      <c r="K28" s="111">
        <v>14884</v>
      </c>
      <c r="L28" s="111">
        <v>74646</v>
      </c>
      <c r="M28" s="113" t="s">
        <v>110</v>
      </c>
      <c r="N28" s="115" t="s">
        <v>562</v>
      </c>
      <c r="O28" s="110"/>
      <c r="P28" s="109">
        <v>58</v>
      </c>
      <c r="Q28" s="107"/>
    </row>
    <row r="29" spans="1:17" ht="20.100000000000001" customHeight="1">
      <c r="A29" s="90"/>
      <c r="B29" s="91"/>
      <c r="C29" s="95">
        <v>581</v>
      </c>
      <c r="D29" s="82" t="s">
        <v>505</v>
      </c>
      <c r="E29" s="84">
        <v>3769</v>
      </c>
      <c r="F29" s="87">
        <v>23</v>
      </c>
      <c r="G29" s="87">
        <v>6907</v>
      </c>
      <c r="H29" s="87">
        <v>24</v>
      </c>
      <c r="I29" s="111">
        <v>7646</v>
      </c>
      <c r="J29" s="111">
        <v>50</v>
      </c>
      <c r="K29" s="111">
        <v>9205</v>
      </c>
      <c r="L29" s="111">
        <v>44030</v>
      </c>
      <c r="M29" s="113" t="s">
        <v>110</v>
      </c>
      <c r="N29" s="115" t="s">
        <v>563</v>
      </c>
      <c r="O29" s="110">
        <v>581</v>
      </c>
      <c r="P29" s="106"/>
      <c r="Q29" s="107"/>
    </row>
    <row r="30" spans="1:17" ht="10.5" customHeight="1">
      <c r="A30" s="90"/>
      <c r="B30" s="91"/>
      <c r="C30" s="95">
        <v>582</v>
      </c>
      <c r="D30" s="82" t="s">
        <v>506</v>
      </c>
      <c r="E30" s="84">
        <v>602</v>
      </c>
      <c r="F30" s="87">
        <v>0</v>
      </c>
      <c r="G30" s="87">
        <v>5067</v>
      </c>
      <c r="H30" s="87">
        <v>14</v>
      </c>
      <c r="I30" s="111">
        <v>4884</v>
      </c>
      <c r="J30" s="111">
        <v>1</v>
      </c>
      <c r="K30" s="111">
        <v>5679</v>
      </c>
      <c r="L30" s="111">
        <v>30616</v>
      </c>
      <c r="M30" s="113" t="s">
        <v>110</v>
      </c>
      <c r="N30" s="115" t="s">
        <v>564</v>
      </c>
      <c r="O30" s="110">
        <v>582</v>
      </c>
      <c r="P30" s="106"/>
      <c r="Q30" s="107"/>
    </row>
    <row r="31" spans="1:17" ht="24.95" customHeight="1">
      <c r="A31" s="90"/>
      <c r="B31" s="94">
        <v>59</v>
      </c>
      <c r="C31" s="95"/>
      <c r="D31" s="82" t="s">
        <v>507</v>
      </c>
      <c r="E31" s="84">
        <v>5137</v>
      </c>
      <c r="F31" s="87">
        <v>41</v>
      </c>
      <c r="G31" s="87">
        <v>37639</v>
      </c>
      <c r="H31" s="87">
        <v>96</v>
      </c>
      <c r="I31" s="111">
        <v>36122</v>
      </c>
      <c r="J31" s="111">
        <v>25</v>
      </c>
      <c r="K31" s="111">
        <v>48658</v>
      </c>
      <c r="L31" s="111">
        <v>232478</v>
      </c>
      <c r="M31" s="113" t="s">
        <v>110</v>
      </c>
      <c r="N31" s="115" t="s">
        <v>565</v>
      </c>
      <c r="O31" s="110"/>
      <c r="P31" s="109">
        <v>59</v>
      </c>
      <c r="Q31" s="107"/>
    </row>
    <row r="32" spans="1:17" ht="10.5" customHeight="1">
      <c r="A32" s="90"/>
      <c r="B32" s="91"/>
      <c r="C32" s="95">
        <v>591</v>
      </c>
      <c r="D32" s="82" t="s">
        <v>508</v>
      </c>
      <c r="E32" s="84">
        <v>4027</v>
      </c>
      <c r="F32" s="87">
        <v>36</v>
      </c>
      <c r="G32" s="87">
        <v>34907</v>
      </c>
      <c r="H32" s="87">
        <v>88</v>
      </c>
      <c r="I32" s="111">
        <v>32563</v>
      </c>
      <c r="J32" s="111">
        <v>21</v>
      </c>
      <c r="K32" s="111">
        <v>44859</v>
      </c>
      <c r="L32" s="111">
        <v>212789</v>
      </c>
      <c r="M32" s="113" t="s">
        <v>110</v>
      </c>
      <c r="N32" s="115" t="s">
        <v>566</v>
      </c>
      <c r="O32" s="110">
        <v>591</v>
      </c>
      <c r="P32" s="106"/>
      <c r="Q32" s="107"/>
    </row>
    <row r="33" spans="1:17" ht="10.5" customHeight="1">
      <c r="A33" s="90"/>
      <c r="B33" s="91"/>
      <c r="C33" s="95">
        <v>592</v>
      </c>
      <c r="D33" s="82" t="s">
        <v>509</v>
      </c>
      <c r="E33" s="84">
        <v>1110</v>
      </c>
      <c r="F33" s="87">
        <v>5</v>
      </c>
      <c r="G33" s="87">
        <v>2731</v>
      </c>
      <c r="H33" s="87">
        <v>8</v>
      </c>
      <c r="I33" s="111">
        <v>3559</v>
      </c>
      <c r="J33" s="111">
        <v>4</v>
      </c>
      <c r="K33" s="111">
        <v>3799</v>
      </c>
      <c r="L33" s="111">
        <v>19689</v>
      </c>
      <c r="M33" s="113" t="s">
        <v>110</v>
      </c>
      <c r="N33" s="115" t="s">
        <v>567</v>
      </c>
      <c r="O33" s="110">
        <v>592</v>
      </c>
      <c r="P33" s="106"/>
      <c r="Q33" s="107"/>
    </row>
    <row r="34" spans="1:17" ht="10.5" customHeight="1">
      <c r="A34" s="90"/>
      <c r="B34" s="94">
        <v>60</v>
      </c>
      <c r="C34" s="95"/>
      <c r="D34" s="82" t="s">
        <v>510</v>
      </c>
      <c r="E34" s="84">
        <v>277</v>
      </c>
      <c r="F34" s="87">
        <v>0</v>
      </c>
      <c r="G34" s="87">
        <v>7790</v>
      </c>
      <c r="H34" s="87">
        <v>0</v>
      </c>
      <c r="I34" s="111">
        <v>7849</v>
      </c>
      <c r="J34" s="111">
        <v>1</v>
      </c>
      <c r="K34" s="111">
        <v>11647</v>
      </c>
      <c r="L34" s="111">
        <v>49044</v>
      </c>
      <c r="M34" s="113" t="s">
        <v>110</v>
      </c>
      <c r="N34" s="115" t="s">
        <v>568</v>
      </c>
      <c r="O34" s="110"/>
      <c r="P34" s="109">
        <v>60</v>
      </c>
      <c r="Q34" s="107"/>
    </row>
    <row r="35" spans="1:17" ht="10.5" customHeight="1">
      <c r="A35" s="90"/>
      <c r="B35" s="91"/>
      <c r="C35" s="95">
        <v>601</v>
      </c>
      <c r="D35" s="82" t="s">
        <v>511</v>
      </c>
      <c r="E35" s="84">
        <v>185</v>
      </c>
      <c r="F35" s="87">
        <v>0</v>
      </c>
      <c r="G35" s="87">
        <v>501</v>
      </c>
      <c r="H35" s="87">
        <v>0</v>
      </c>
      <c r="I35" s="111">
        <v>484</v>
      </c>
      <c r="J35" s="111">
        <v>1</v>
      </c>
      <c r="K35" s="111">
        <v>631</v>
      </c>
      <c r="L35" s="111">
        <v>3017</v>
      </c>
      <c r="M35" s="113" t="s">
        <v>110</v>
      </c>
      <c r="N35" s="115" t="s">
        <v>569</v>
      </c>
      <c r="O35" s="110">
        <v>601</v>
      </c>
      <c r="P35" s="106"/>
      <c r="Q35" s="107"/>
    </row>
    <row r="36" spans="1:17" ht="10.5" customHeight="1">
      <c r="A36" s="90"/>
      <c r="B36" s="91"/>
      <c r="C36" s="95">
        <v>602</v>
      </c>
      <c r="D36" s="82" t="s">
        <v>512</v>
      </c>
      <c r="E36" s="84">
        <v>92</v>
      </c>
      <c r="F36" s="87">
        <v>0</v>
      </c>
      <c r="G36" s="87">
        <v>7288</v>
      </c>
      <c r="H36" s="87">
        <v>0</v>
      </c>
      <c r="I36" s="111">
        <v>7365</v>
      </c>
      <c r="J36" s="111">
        <v>0</v>
      </c>
      <c r="K36" s="111">
        <v>11017</v>
      </c>
      <c r="L36" s="111">
        <v>46027</v>
      </c>
      <c r="M36" s="113" t="s">
        <v>110</v>
      </c>
      <c r="N36" s="115" t="s">
        <v>570</v>
      </c>
      <c r="O36" s="110">
        <v>602</v>
      </c>
      <c r="P36" s="106"/>
      <c r="Q36" s="107"/>
    </row>
    <row r="37" spans="1:17" ht="10.5" customHeight="1">
      <c r="A37" s="90"/>
      <c r="B37" s="94">
        <v>61</v>
      </c>
      <c r="C37" s="95"/>
      <c r="D37" s="82" t="s">
        <v>513</v>
      </c>
      <c r="E37" s="84">
        <v>1059</v>
      </c>
      <c r="F37" s="87">
        <v>95</v>
      </c>
      <c r="G37" s="87">
        <v>64636</v>
      </c>
      <c r="H37" s="87">
        <v>136</v>
      </c>
      <c r="I37" s="111">
        <v>69728</v>
      </c>
      <c r="J37" s="111">
        <v>89</v>
      </c>
      <c r="K37" s="111">
        <v>79875</v>
      </c>
      <c r="L37" s="111">
        <v>404445</v>
      </c>
      <c r="M37" s="113" t="s">
        <v>110</v>
      </c>
      <c r="N37" s="115" t="s">
        <v>571</v>
      </c>
      <c r="O37" s="110"/>
      <c r="P37" s="109">
        <v>61</v>
      </c>
      <c r="Q37" s="107"/>
    </row>
    <row r="38" spans="1:17" ht="10.5" customHeight="1">
      <c r="A38" s="90"/>
      <c r="B38" s="91"/>
      <c r="C38" s="95">
        <v>610</v>
      </c>
      <c r="D38" s="82" t="s">
        <v>514</v>
      </c>
      <c r="E38" s="84">
        <v>1059</v>
      </c>
      <c r="F38" s="87">
        <v>95</v>
      </c>
      <c r="G38" s="87">
        <v>64636</v>
      </c>
      <c r="H38" s="87">
        <v>136</v>
      </c>
      <c r="I38" s="111">
        <v>69728</v>
      </c>
      <c r="J38" s="111">
        <v>89</v>
      </c>
      <c r="K38" s="111">
        <v>79875</v>
      </c>
      <c r="L38" s="111">
        <v>404445</v>
      </c>
      <c r="M38" s="113" t="s">
        <v>110</v>
      </c>
      <c r="N38" s="115" t="s">
        <v>572</v>
      </c>
      <c r="O38" s="110">
        <v>610</v>
      </c>
      <c r="P38" s="106"/>
      <c r="Q38" s="107"/>
    </row>
    <row r="39" spans="1:17" ht="10.5" customHeight="1">
      <c r="A39" s="90"/>
      <c r="B39" s="94">
        <v>62</v>
      </c>
      <c r="C39" s="95"/>
      <c r="D39" s="82" t="s">
        <v>515</v>
      </c>
      <c r="E39" s="84">
        <v>7381</v>
      </c>
      <c r="F39" s="87">
        <v>562</v>
      </c>
      <c r="G39" s="87">
        <v>49563</v>
      </c>
      <c r="H39" s="87">
        <v>637</v>
      </c>
      <c r="I39" s="111">
        <v>52543</v>
      </c>
      <c r="J39" s="111">
        <v>1004</v>
      </c>
      <c r="K39" s="111">
        <v>63770</v>
      </c>
      <c r="L39" s="111">
        <v>309127</v>
      </c>
      <c r="M39" s="113" t="s">
        <v>110</v>
      </c>
      <c r="N39" s="115" t="s">
        <v>573</v>
      </c>
      <c r="O39" s="110"/>
      <c r="P39" s="109">
        <v>62</v>
      </c>
      <c r="Q39" s="107"/>
    </row>
    <row r="40" spans="1:17" ht="10.5" customHeight="1">
      <c r="A40" s="90"/>
      <c r="B40" s="91"/>
      <c r="C40" s="95">
        <v>620</v>
      </c>
      <c r="D40" s="82" t="s">
        <v>516</v>
      </c>
      <c r="E40" s="84">
        <v>7381</v>
      </c>
      <c r="F40" s="87">
        <v>562</v>
      </c>
      <c r="G40" s="87">
        <v>49563</v>
      </c>
      <c r="H40" s="87">
        <v>637</v>
      </c>
      <c r="I40" s="111">
        <v>52543</v>
      </c>
      <c r="J40" s="111">
        <v>1004</v>
      </c>
      <c r="K40" s="111">
        <v>63770</v>
      </c>
      <c r="L40" s="111">
        <v>309127</v>
      </c>
      <c r="M40" s="113" t="s">
        <v>110</v>
      </c>
      <c r="N40" s="115" t="s">
        <v>574</v>
      </c>
      <c r="O40" s="110">
        <v>620</v>
      </c>
      <c r="P40" s="106"/>
      <c r="Q40" s="107"/>
    </row>
    <row r="41" spans="1:17" ht="10.5" customHeight="1">
      <c r="A41" s="90"/>
      <c r="B41" s="94">
        <v>63</v>
      </c>
      <c r="C41" s="95"/>
      <c r="D41" s="82" t="s">
        <v>517</v>
      </c>
      <c r="E41" s="84">
        <v>8917</v>
      </c>
      <c r="F41" s="87">
        <v>260</v>
      </c>
      <c r="G41" s="87">
        <v>111122</v>
      </c>
      <c r="H41" s="87">
        <v>718</v>
      </c>
      <c r="I41" s="111">
        <v>110885</v>
      </c>
      <c r="J41" s="111">
        <v>226</v>
      </c>
      <c r="K41" s="111">
        <v>129678</v>
      </c>
      <c r="L41" s="111">
        <v>676557</v>
      </c>
      <c r="M41" s="113" t="s">
        <v>110</v>
      </c>
      <c r="N41" s="115" t="s">
        <v>575</v>
      </c>
      <c r="O41" s="110"/>
      <c r="P41" s="109">
        <v>63</v>
      </c>
      <c r="Q41" s="107"/>
    </row>
    <row r="42" spans="1:17" ht="24.95" customHeight="1">
      <c r="A42" s="90"/>
      <c r="B42" s="91"/>
      <c r="C42" s="95">
        <v>631</v>
      </c>
      <c r="D42" s="82" t="s">
        <v>518</v>
      </c>
      <c r="E42" s="84">
        <v>3334</v>
      </c>
      <c r="F42" s="87">
        <v>93</v>
      </c>
      <c r="G42" s="87">
        <v>79182</v>
      </c>
      <c r="H42" s="87">
        <v>655</v>
      </c>
      <c r="I42" s="111">
        <v>78483</v>
      </c>
      <c r="J42" s="111">
        <v>137</v>
      </c>
      <c r="K42" s="111">
        <v>87140</v>
      </c>
      <c r="L42" s="111">
        <v>396846</v>
      </c>
      <c r="M42" s="113" t="s">
        <v>110</v>
      </c>
      <c r="N42" s="115" t="s">
        <v>576</v>
      </c>
      <c r="O42" s="110">
        <v>631</v>
      </c>
      <c r="P42" s="106"/>
      <c r="Q42" s="107"/>
    </row>
    <row r="43" spans="1:17" ht="10.5" customHeight="1">
      <c r="A43" s="90"/>
      <c r="B43" s="91"/>
      <c r="C43" s="95">
        <v>639</v>
      </c>
      <c r="D43" s="82" t="s">
        <v>519</v>
      </c>
      <c r="E43" s="84">
        <v>5583</v>
      </c>
      <c r="F43" s="87">
        <v>168</v>
      </c>
      <c r="G43" s="87">
        <v>31939</v>
      </c>
      <c r="H43" s="87">
        <v>63</v>
      </c>
      <c r="I43" s="111">
        <v>32401</v>
      </c>
      <c r="J43" s="111">
        <v>89</v>
      </c>
      <c r="K43" s="111">
        <v>42538</v>
      </c>
      <c r="L43" s="111">
        <v>279711</v>
      </c>
      <c r="M43" s="113" t="s">
        <v>110</v>
      </c>
      <c r="N43" s="115" t="s">
        <v>577</v>
      </c>
      <c r="O43" s="110">
        <v>639</v>
      </c>
      <c r="P43" s="106"/>
      <c r="Q43" s="107"/>
    </row>
    <row r="44" spans="1:17" ht="14.1" customHeight="1">
      <c r="A44" s="93" t="s">
        <v>539</v>
      </c>
      <c r="B44" s="91"/>
      <c r="C44" s="95"/>
      <c r="D44" s="83" t="s">
        <v>520</v>
      </c>
      <c r="E44" s="85">
        <v>48162</v>
      </c>
      <c r="F44" s="88">
        <v>1906</v>
      </c>
      <c r="G44" s="88">
        <v>595779</v>
      </c>
      <c r="H44" s="88">
        <v>609</v>
      </c>
      <c r="I44" s="112">
        <v>553147</v>
      </c>
      <c r="J44" s="112">
        <v>297</v>
      </c>
      <c r="K44" s="112">
        <v>976539</v>
      </c>
      <c r="L44" s="112">
        <v>3679302</v>
      </c>
      <c r="M44" s="114" t="s">
        <v>110</v>
      </c>
      <c r="N44" s="116" t="s">
        <v>578</v>
      </c>
      <c r="O44" s="110"/>
      <c r="P44" s="106"/>
      <c r="Q44" s="108" t="s">
        <v>539</v>
      </c>
    </row>
    <row r="45" spans="1:17" ht="10.5" customHeight="1">
      <c r="A45" s="90"/>
      <c r="B45" s="94">
        <v>64</v>
      </c>
      <c r="C45" s="95"/>
      <c r="D45" s="82" t="s">
        <v>521</v>
      </c>
      <c r="E45" s="84">
        <v>37948</v>
      </c>
      <c r="F45" s="87">
        <v>1653</v>
      </c>
      <c r="G45" s="87">
        <v>395823</v>
      </c>
      <c r="H45" s="87">
        <v>595</v>
      </c>
      <c r="I45" s="111">
        <v>371493</v>
      </c>
      <c r="J45" s="111">
        <v>245</v>
      </c>
      <c r="K45" s="111">
        <v>586984</v>
      </c>
      <c r="L45" s="111">
        <v>2402776</v>
      </c>
      <c r="M45" s="113" t="s">
        <v>110</v>
      </c>
      <c r="N45" s="115" t="s">
        <v>579</v>
      </c>
      <c r="O45" s="110"/>
      <c r="P45" s="109">
        <v>64</v>
      </c>
      <c r="Q45" s="107"/>
    </row>
    <row r="46" spans="1:17" ht="10.5" customHeight="1">
      <c r="A46" s="90"/>
      <c r="B46" s="91"/>
      <c r="C46" s="95">
        <v>641</v>
      </c>
      <c r="D46" s="82" t="s">
        <v>522</v>
      </c>
      <c r="E46" s="84">
        <v>4931</v>
      </c>
      <c r="F46" s="87">
        <v>1145</v>
      </c>
      <c r="G46" s="87">
        <v>332019</v>
      </c>
      <c r="H46" s="120">
        <v>0</v>
      </c>
      <c r="I46" s="111">
        <v>314889</v>
      </c>
      <c r="J46" s="111">
        <v>70</v>
      </c>
      <c r="K46" s="111">
        <v>307639</v>
      </c>
      <c r="L46" s="111">
        <v>1801066</v>
      </c>
      <c r="M46" s="113" t="s">
        <v>110</v>
      </c>
      <c r="N46" s="115" t="s">
        <v>580</v>
      </c>
      <c r="O46" s="110">
        <v>641</v>
      </c>
      <c r="P46" s="106"/>
      <c r="Q46" s="107"/>
    </row>
    <row r="47" spans="1:17" ht="10.5" customHeight="1">
      <c r="A47" s="90"/>
      <c r="B47" s="91"/>
      <c r="C47" s="95">
        <v>642</v>
      </c>
      <c r="D47" s="82" t="s">
        <v>523</v>
      </c>
      <c r="E47" s="84">
        <v>61</v>
      </c>
      <c r="F47" s="89">
        <v>0</v>
      </c>
      <c r="G47" s="87">
        <v>17114</v>
      </c>
      <c r="H47" s="87">
        <v>0</v>
      </c>
      <c r="I47" s="111">
        <v>10376</v>
      </c>
      <c r="J47" s="117">
        <v>0</v>
      </c>
      <c r="K47" s="111">
        <v>50279</v>
      </c>
      <c r="L47" s="111">
        <v>123290</v>
      </c>
      <c r="M47" s="113" t="s">
        <v>110</v>
      </c>
      <c r="N47" s="115" t="s">
        <v>581</v>
      </c>
      <c r="O47" s="110">
        <v>642</v>
      </c>
      <c r="P47" s="106"/>
      <c r="Q47" s="107"/>
    </row>
    <row r="48" spans="1:17" ht="10.5" customHeight="1">
      <c r="A48" s="90"/>
      <c r="B48" s="91"/>
      <c r="C48" s="95">
        <v>643</v>
      </c>
      <c r="D48" s="82" t="s">
        <v>524</v>
      </c>
      <c r="E48" s="84">
        <v>87</v>
      </c>
      <c r="F48" s="87">
        <v>0</v>
      </c>
      <c r="G48" s="87">
        <v>390</v>
      </c>
      <c r="H48" s="89">
        <v>0</v>
      </c>
      <c r="I48" s="111">
        <v>492</v>
      </c>
      <c r="J48" s="117">
        <v>0</v>
      </c>
      <c r="K48" s="111">
        <v>459</v>
      </c>
      <c r="L48" s="111">
        <v>3589</v>
      </c>
      <c r="M48" s="113" t="s">
        <v>110</v>
      </c>
      <c r="N48" s="115" t="s">
        <v>582</v>
      </c>
      <c r="O48" s="110">
        <v>643</v>
      </c>
      <c r="P48" s="106"/>
      <c r="Q48" s="107"/>
    </row>
    <row r="49" spans="1:17" ht="10.5" customHeight="1">
      <c r="A49" s="90"/>
      <c r="B49" s="91"/>
      <c r="C49" s="95">
        <v>649</v>
      </c>
      <c r="D49" s="82" t="s">
        <v>525</v>
      </c>
      <c r="E49" s="84">
        <v>32869</v>
      </c>
      <c r="F49" s="87">
        <v>508</v>
      </c>
      <c r="G49" s="87">
        <v>46300</v>
      </c>
      <c r="H49" s="87">
        <v>595</v>
      </c>
      <c r="I49" s="111">
        <v>45736</v>
      </c>
      <c r="J49" s="111">
        <v>176</v>
      </c>
      <c r="K49" s="111">
        <v>228608</v>
      </c>
      <c r="L49" s="111">
        <v>474831</v>
      </c>
      <c r="M49" s="113" t="s">
        <v>110</v>
      </c>
      <c r="N49" s="115" t="s">
        <v>583</v>
      </c>
      <c r="O49" s="110">
        <v>649</v>
      </c>
      <c r="P49" s="106"/>
      <c r="Q49" s="107"/>
    </row>
    <row r="50" spans="1:17" ht="10.5" customHeight="1">
      <c r="A50" s="90"/>
      <c r="B50" s="94">
        <v>65</v>
      </c>
      <c r="C50" s="95"/>
      <c r="D50" s="82" t="s">
        <v>526</v>
      </c>
      <c r="E50" s="84">
        <v>983</v>
      </c>
      <c r="F50" s="87">
        <v>34</v>
      </c>
      <c r="G50" s="87">
        <v>101155</v>
      </c>
      <c r="H50" s="87">
        <v>6</v>
      </c>
      <c r="I50" s="111">
        <v>94775</v>
      </c>
      <c r="J50" s="111">
        <v>30</v>
      </c>
      <c r="K50" s="111">
        <v>242896</v>
      </c>
      <c r="L50" s="111">
        <v>694843</v>
      </c>
      <c r="M50" s="113" t="s">
        <v>110</v>
      </c>
      <c r="N50" s="115" t="s">
        <v>584</v>
      </c>
      <c r="O50" s="110"/>
      <c r="P50" s="109">
        <v>65</v>
      </c>
      <c r="Q50" s="107"/>
    </row>
    <row r="51" spans="1:17" ht="10.5" customHeight="1">
      <c r="A51" s="90"/>
      <c r="B51" s="91"/>
      <c r="C51" s="95">
        <v>651</v>
      </c>
      <c r="D51" s="82" t="s">
        <v>527</v>
      </c>
      <c r="E51" s="84">
        <v>200</v>
      </c>
      <c r="F51" s="87">
        <v>34</v>
      </c>
      <c r="G51" s="87">
        <v>61352</v>
      </c>
      <c r="H51" s="89">
        <v>0</v>
      </c>
      <c r="I51" s="111">
        <v>62655</v>
      </c>
      <c r="J51" s="117">
        <v>0</v>
      </c>
      <c r="K51" s="111">
        <v>211905</v>
      </c>
      <c r="L51" s="111">
        <v>508071</v>
      </c>
      <c r="M51" s="113" t="s">
        <v>110</v>
      </c>
      <c r="N51" s="115" t="s">
        <v>585</v>
      </c>
      <c r="O51" s="110">
        <v>651</v>
      </c>
      <c r="P51" s="106"/>
      <c r="Q51" s="107"/>
    </row>
    <row r="52" spans="1:17" ht="10.5" customHeight="1">
      <c r="A52" s="90"/>
      <c r="B52" s="91"/>
      <c r="C52" s="95">
        <v>652</v>
      </c>
      <c r="D52" s="82" t="s">
        <v>528</v>
      </c>
      <c r="E52" s="84">
        <v>189</v>
      </c>
      <c r="F52" s="89">
        <v>0</v>
      </c>
      <c r="G52" s="87">
        <v>25492</v>
      </c>
      <c r="H52" s="87">
        <v>6</v>
      </c>
      <c r="I52" s="111">
        <v>17353</v>
      </c>
      <c r="J52" s="111">
        <v>30</v>
      </c>
      <c r="K52" s="111">
        <v>15181</v>
      </c>
      <c r="L52" s="111">
        <v>101767</v>
      </c>
      <c r="M52" s="113" t="s">
        <v>110</v>
      </c>
      <c r="N52" s="115" t="s">
        <v>586</v>
      </c>
      <c r="O52" s="110">
        <v>652</v>
      </c>
      <c r="P52" s="106"/>
      <c r="Q52" s="107"/>
    </row>
    <row r="53" spans="1:17" ht="10.5" customHeight="1">
      <c r="A53" s="90"/>
      <c r="B53" s="91"/>
      <c r="C53" s="95">
        <v>653</v>
      </c>
      <c r="D53" s="82" t="s">
        <v>529</v>
      </c>
      <c r="E53" s="84">
        <v>4</v>
      </c>
      <c r="F53" s="89">
        <v>0</v>
      </c>
      <c r="G53" s="87">
        <v>3331</v>
      </c>
      <c r="H53" s="89">
        <v>0</v>
      </c>
      <c r="I53" s="111">
        <v>3242</v>
      </c>
      <c r="J53" s="117">
        <v>0</v>
      </c>
      <c r="K53" s="111">
        <v>4078</v>
      </c>
      <c r="L53" s="111">
        <v>19788</v>
      </c>
      <c r="M53" s="113" t="s">
        <v>110</v>
      </c>
      <c r="N53" s="115" t="s">
        <v>587</v>
      </c>
      <c r="O53" s="110">
        <v>653</v>
      </c>
      <c r="P53" s="106"/>
      <c r="Q53" s="107"/>
    </row>
    <row r="54" spans="1:17" ht="10.5" customHeight="1">
      <c r="A54" s="90"/>
      <c r="B54" s="91"/>
      <c r="C54" s="95">
        <v>654</v>
      </c>
      <c r="D54" s="82" t="s">
        <v>530</v>
      </c>
      <c r="E54" s="121">
        <v>0</v>
      </c>
      <c r="F54" s="89">
        <v>0</v>
      </c>
      <c r="G54" s="89">
        <v>0</v>
      </c>
      <c r="H54" s="89">
        <v>0</v>
      </c>
      <c r="I54" s="117">
        <v>0</v>
      </c>
      <c r="J54" s="117">
        <v>0</v>
      </c>
      <c r="K54" s="117">
        <v>0</v>
      </c>
      <c r="L54" s="117">
        <v>0</v>
      </c>
      <c r="M54" s="113" t="s">
        <v>110</v>
      </c>
      <c r="N54" s="115" t="s">
        <v>588</v>
      </c>
      <c r="O54" s="110">
        <v>654</v>
      </c>
      <c r="P54" s="106"/>
      <c r="Q54" s="107"/>
    </row>
    <row r="55" spans="1:17" ht="10.5" customHeight="1">
      <c r="A55" s="90"/>
      <c r="B55" s="91"/>
      <c r="C55" s="95">
        <v>655</v>
      </c>
      <c r="D55" s="82" t="s">
        <v>531</v>
      </c>
      <c r="E55" s="84">
        <v>590</v>
      </c>
      <c r="F55" s="87">
        <v>0</v>
      </c>
      <c r="G55" s="87">
        <v>10981</v>
      </c>
      <c r="H55" s="87">
        <v>0</v>
      </c>
      <c r="I55" s="111">
        <v>11525</v>
      </c>
      <c r="J55" s="117">
        <v>0</v>
      </c>
      <c r="K55" s="111">
        <v>11732</v>
      </c>
      <c r="L55" s="111">
        <v>65217</v>
      </c>
      <c r="M55" s="113" t="s">
        <v>110</v>
      </c>
      <c r="N55" s="115" t="s">
        <v>589</v>
      </c>
      <c r="O55" s="110">
        <v>655</v>
      </c>
      <c r="P55" s="106"/>
      <c r="Q55" s="107"/>
    </row>
    <row r="56" spans="1:17" ht="20.100000000000001" customHeight="1">
      <c r="A56" s="90"/>
      <c r="B56" s="94">
        <v>66</v>
      </c>
      <c r="C56" s="95"/>
      <c r="D56" s="82" t="s">
        <v>532</v>
      </c>
      <c r="E56" s="84">
        <v>9231</v>
      </c>
      <c r="F56" s="87">
        <v>219</v>
      </c>
      <c r="G56" s="87">
        <v>98800</v>
      </c>
      <c r="H56" s="87">
        <v>9</v>
      </c>
      <c r="I56" s="111">
        <v>86879</v>
      </c>
      <c r="J56" s="111">
        <v>21</v>
      </c>
      <c r="K56" s="111">
        <v>146659</v>
      </c>
      <c r="L56" s="111">
        <v>581683</v>
      </c>
      <c r="M56" s="113" t="s">
        <v>110</v>
      </c>
      <c r="N56" s="115" t="s">
        <v>590</v>
      </c>
      <c r="O56" s="110"/>
      <c r="P56" s="109">
        <v>66</v>
      </c>
      <c r="Q56" s="107"/>
    </row>
    <row r="57" spans="1:17" ht="10.5" customHeight="1">
      <c r="A57" s="90"/>
      <c r="B57" s="91"/>
      <c r="C57" s="95">
        <v>661</v>
      </c>
      <c r="D57" s="82" t="s">
        <v>533</v>
      </c>
      <c r="E57" s="84">
        <v>796</v>
      </c>
      <c r="F57" s="89">
        <v>0</v>
      </c>
      <c r="G57" s="87">
        <v>34528</v>
      </c>
      <c r="H57" s="89">
        <v>0</v>
      </c>
      <c r="I57" s="111">
        <v>27349</v>
      </c>
      <c r="J57" s="117">
        <v>0</v>
      </c>
      <c r="K57" s="111">
        <v>32948</v>
      </c>
      <c r="L57" s="111">
        <v>171483</v>
      </c>
      <c r="M57" s="113" t="s">
        <v>110</v>
      </c>
      <c r="N57" s="115" t="s">
        <v>591</v>
      </c>
      <c r="O57" s="110">
        <v>661</v>
      </c>
      <c r="P57" s="106"/>
      <c r="Q57" s="107"/>
    </row>
    <row r="58" spans="1:17" ht="10.5" customHeight="1">
      <c r="A58" s="90"/>
      <c r="B58" s="91"/>
      <c r="C58" s="95">
        <v>662</v>
      </c>
      <c r="D58" s="82" t="s">
        <v>534</v>
      </c>
      <c r="E58" s="84">
        <v>52</v>
      </c>
      <c r="F58" s="89">
        <v>0</v>
      </c>
      <c r="G58" s="87">
        <v>3911</v>
      </c>
      <c r="H58" s="89">
        <v>0</v>
      </c>
      <c r="I58" s="111">
        <v>3505</v>
      </c>
      <c r="J58" s="117">
        <v>0</v>
      </c>
      <c r="K58" s="111">
        <v>3325</v>
      </c>
      <c r="L58" s="111">
        <v>20230</v>
      </c>
      <c r="M58" s="113" t="s">
        <v>110</v>
      </c>
      <c r="N58" s="115" t="s">
        <v>592</v>
      </c>
      <c r="O58" s="110">
        <v>662</v>
      </c>
      <c r="P58" s="106"/>
      <c r="Q58" s="107"/>
    </row>
    <row r="59" spans="1:17" ht="10.5" customHeight="1">
      <c r="A59" s="90"/>
      <c r="B59" s="91"/>
      <c r="C59" s="95">
        <v>664</v>
      </c>
      <c r="D59" s="82" t="s">
        <v>535</v>
      </c>
      <c r="E59" s="84">
        <v>61</v>
      </c>
      <c r="F59" s="89">
        <v>0</v>
      </c>
      <c r="G59" s="87">
        <v>10019</v>
      </c>
      <c r="H59" s="89">
        <v>0</v>
      </c>
      <c r="I59" s="111">
        <v>9654</v>
      </c>
      <c r="J59" s="117">
        <v>0</v>
      </c>
      <c r="K59" s="111">
        <v>10483</v>
      </c>
      <c r="L59" s="111">
        <v>56817</v>
      </c>
      <c r="M59" s="113" t="s">
        <v>110</v>
      </c>
      <c r="N59" s="115" t="s">
        <v>593</v>
      </c>
      <c r="O59" s="110">
        <v>664</v>
      </c>
      <c r="P59" s="106"/>
      <c r="Q59" s="107"/>
    </row>
    <row r="60" spans="1:17" ht="10.5" customHeight="1">
      <c r="A60" s="90"/>
      <c r="B60" s="91"/>
      <c r="C60" s="95">
        <v>669</v>
      </c>
      <c r="D60" s="82" t="s">
        <v>536</v>
      </c>
      <c r="E60" s="84">
        <v>8322</v>
      </c>
      <c r="F60" s="87">
        <v>219</v>
      </c>
      <c r="G60" s="87">
        <v>50343</v>
      </c>
      <c r="H60" s="87">
        <v>9</v>
      </c>
      <c r="I60" s="111">
        <v>46372</v>
      </c>
      <c r="J60" s="111">
        <v>21</v>
      </c>
      <c r="K60" s="111">
        <v>99903</v>
      </c>
      <c r="L60" s="111">
        <v>333153</v>
      </c>
      <c r="M60" s="113" t="s">
        <v>110</v>
      </c>
      <c r="N60" s="115" t="s">
        <v>594</v>
      </c>
      <c r="O60" s="110">
        <v>669</v>
      </c>
      <c r="P60" s="106"/>
      <c r="Q60" s="107"/>
    </row>
    <row r="61" spans="1:17" ht="5.0999999999999996" customHeight="1" thickBot="1">
      <c r="A61" s="23"/>
      <c r="B61" s="25"/>
      <c r="C61" s="25"/>
      <c r="D61" s="13"/>
      <c r="E61" s="17"/>
      <c r="F61" s="9"/>
      <c r="G61" s="9"/>
      <c r="H61" s="15"/>
      <c r="I61" s="13"/>
      <c r="J61" s="11"/>
      <c r="K61" s="11"/>
      <c r="L61" s="11"/>
      <c r="M61" s="37"/>
      <c r="N61" s="39"/>
      <c r="O61" s="9"/>
      <c r="P61" s="9"/>
      <c r="Q61" s="7"/>
    </row>
    <row r="63" spans="1:17" ht="15" customHeight="1"/>
  </sheetData>
  <mergeCells count="12">
    <mergeCell ref="O3:O6"/>
    <mergeCell ref="N3:N6"/>
    <mergeCell ref="I1:Q1"/>
    <mergeCell ref="A1:H1"/>
    <mergeCell ref="Q3:Q6"/>
    <mergeCell ref="F3:H3"/>
    <mergeCell ref="I3:M3"/>
    <mergeCell ref="A3:A6"/>
    <mergeCell ref="B3:B6"/>
    <mergeCell ref="C3:C6"/>
    <mergeCell ref="D3:D6"/>
    <mergeCell ref="P3:P6"/>
  </mergeCells>
  <phoneticPr fontId="2" type="noConversion"/>
  <printOptions horizontalCentered="1"/>
  <pageMargins left="0.78740157480314965" right="0.78740157480314965" top="0.59055118110236227" bottom="1.1811023622047245" header="0.39370078740157483" footer="1.1811023622047245"/>
  <pageSetup paperSize="9" firstPageNumber="100" orientation="portrait" useFirstPageNumber="1" horizontalDpi="4294967292" r:id="rId1"/>
  <headerFooter alignWithMargins="0">
    <oddFooter>&amp;C&amp;10 - &amp;P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0"/>
  <sheetViews>
    <sheetView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650</v>
      </c>
      <c r="B1" s="48"/>
      <c r="C1" s="48"/>
      <c r="D1" s="48"/>
      <c r="E1" s="48"/>
      <c r="F1" s="48"/>
      <c r="G1" s="48"/>
      <c r="H1" s="48"/>
      <c r="I1" s="47" t="s">
        <v>701</v>
      </c>
      <c r="J1" s="47"/>
      <c r="K1" s="47"/>
      <c r="L1" s="47"/>
      <c r="M1" s="47"/>
      <c r="N1" s="47"/>
      <c r="O1" s="47"/>
      <c r="P1" s="47"/>
      <c r="Q1" s="47"/>
    </row>
    <row r="2" spans="1:17" ht="15" customHeight="1" thickBot="1">
      <c r="A2" s="16"/>
      <c r="B2" s="16"/>
      <c r="C2" s="16"/>
      <c r="D2" s="16"/>
      <c r="E2" s="1"/>
      <c r="F2" s="18"/>
      <c r="G2" s="18"/>
      <c r="H2" s="19" t="s">
        <v>38</v>
      </c>
      <c r="J2" s="1"/>
      <c r="K2" s="1"/>
      <c r="L2" s="1"/>
      <c r="M2" s="1"/>
      <c r="N2" s="26"/>
      <c r="O2" s="26"/>
      <c r="P2" s="26"/>
      <c r="Q2" s="35" t="s">
        <v>17</v>
      </c>
    </row>
    <row r="3" spans="1:17" ht="12" customHeight="1">
      <c r="A3" s="58" t="s">
        <v>35</v>
      </c>
      <c r="B3" s="61" t="s">
        <v>36</v>
      </c>
      <c r="C3" s="61" t="s">
        <v>1</v>
      </c>
      <c r="D3" s="67" t="s">
        <v>28</v>
      </c>
      <c r="E3" s="21" t="s">
        <v>3</v>
      </c>
      <c r="F3" s="53" t="s">
        <v>29</v>
      </c>
      <c r="G3" s="54"/>
      <c r="H3" s="55"/>
      <c r="I3" s="78" t="s">
        <v>30</v>
      </c>
      <c r="J3" s="78"/>
      <c r="K3" s="78"/>
      <c r="L3" s="78"/>
      <c r="M3" s="79"/>
      <c r="N3" s="75" t="s">
        <v>31</v>
      </c>
      <c r="O3" s="74" t="s">
        <v>32</v>
      </c>
      <c r="P3" s="70" t="s">
        <v>33</v>
      </c>
      <c r="Q3" s="49" t="s">
        <v>34</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4.1" customHeight="1">
      <c r="A8" s="93" t="s">
        <v>649</v>
      </c>
      <c r="B8" s="91"/>
      <c r="C8" s="92"/>
      <c r="D8" s="83" t="s">
        <v>648</v>
      </c>
      <c r="E8" s="85">
        <v>47919</v>
      </c>
      <c r="F8" s="88">
        <v>3130</v>
      </c>
      <c r="G8" s="88">
        <v>323974</v>
      </c>
      <c r="H8" s="88">
        <v>974</v>
      </c>
      <c r="I8" s="112">
        <v>342045</v>
      </c>
      <c r="J8" s="112">
        <v>605</v>
      </c>
      <c r="K8" s="112">
        <v>503807</v>
      </c>
      <c r="L8" s="112">
        <v>1934176</v>
      </c>
      <c r="M8" s="114" t="s">
        <v>110</v>
      </c>
      <c r="N8" s="116" t="s">
        <v>651</v>
      </c>
      <c r="O8" s="105"/>
      <c r="P8" s="106"/>
      <c r="Q8" s="108" t="s">
        <v>649</v>
      </c>
    </row>
    <row r="9" spans="1:17" ht="10.5" customHeight="1">
      <c r="A9" s="93"/>
      <c r="B9" s="94">
        <v>67</v>
      </c>
      <c r="C9" s="92"/>
      <c r="D9" s="82" t="s">
        <v>596</v>
      </c>
      <c r="E9" s="84">
        <v>18567</v>
      </c>
      <c r="F9" s="87">
        <v>1594</v>
      </c>
      <c r="G9" s="87">
        <v>206491</v>
      </c>
      <c r="H9" s="87">
        <v>536</v>
      </c>
      <c r="I9" s="111">
        <v>226757</v>
      </c>
      <c r="J9" s="111">
        <v>362</v>
      </c>
      <c r="K9" s="111">
        <v>316961</v>
      </c>
      <c r="L9" s="111">
        <v>1241854</v>
      </c>
      <c r="M9" s="113" t="s">
        <v>110</v>
      </c>
      <c r="N9" s="115" t="s">
        <v>652</v>
      </c>
      <c r="O9" s="105"/>
      <c r="P9" s="109">
        <v>67</v>
      </c>
      <c r="Q9" s="108"/>
    </row>
    <row r="10" spans="1:17" ht="10.5" customHeight="1">
      <c r="A10" s="93"/>
      <c r="B10" s="91"/>
      <c r="C10" s="95">
        <v>670</v>
      </c>
      <c r="D10" s="82" t="s">
        <v>597</v>
      </c>
      <c r="E10" s="84">
        <v>18567</v>
      </c>
      <c r="F10" s="87">
        <v>1594</v>
      </c>
      <c r="G10" s="87">
        <v>206491</v>
      </c>
      <c r="H10" s="87">
        <v>536</v>
      </c>
      <c r="I10" s="111">
        <v>226757</v>
      </c>
      <c r="J10" s="111">
        <v>362</v>
      </c>
      <c r="K10" s="111">
        <v>316961</v>
      </c>
      <c r="L10" s="111">
        <v>1241854</v>
      </c>
      <c r="M10" s="113" t="s">
        <v>110</v>
      </c>
      <c r="N10" s="115" t="s">
        <v>653</v>
      </c>
      <c r="O10" s="110">
        <v>670</v>
      </c>
      <c r="P10" s="106"/>
      <c r="Q10" s="108"/>
    </row>
    <row r="11" spans="1:17" ht="10.5" customHeight="1">
      <c r="A11" s="93"/>
      <c r="B11" s="94">
        <v>68</v>
      </c>
      <c r="C11" s="92"/>
      <c r="D11" s="82" t="s">
        <v>598</v>
      </c>
      <c r="E11" s="84">
        <v>29352</v>
      </c>
      <c r="F11" s="87">
        <v>1536</v>
      </c>
      <c r="G11" s="87">
        <v>117483</v>
      </c>
      <c r="H11" s="87">
        <v>437</v>
      </c>
      <c r="I11" s="111">
        <v>115288</v>
      </c>
      <c r="J11" s="111">
        <v>243</v>
      </c>
      <c r="K11" s="111">
        <v>186846</v>
      </c>
      <c r="L11" s="111">
        <v>692323</v>
      </c>
      <c r="M11" s="113" t="s">
        <v>110</v>
      </c>
      <c r="N11" s="115" t="s">
        <v>654</v>
      </c>
      <c r="O11" s="105"/>
      <c r="P11" s="109">
        <v>68</v>
      </c>
      <c r="Q11" s="108"/>
    </row>
    <row r="12" spans="1:17" ht="10.5" customHeight="1">
      <c r="A12" s="93"/>
      <c r="B12" s="91"/>
      <c r="C12" s="95">
        <v>681</v>
      </c>
      <c r="D12" s="82" t="s">
        <v>599</v>
      </c>
      <c r="E12" s="84">
        <v>28537</v>
      </c>
      <c r="F12" s="87">
        <v>1530</v>
      </c>
      <c r="G12" s="87">
        <v>116154</v>
      </c>
      <c r="H12" s="87">
        <v>432</v>
      </c>
      <c r="I12" s="111">
        <v>113821</v>
      </c>
      <c r="J12" s="111">
        <v>236</v>
      </c>
      <c r="K12" s="111">
        <v>185379</v>
      </c>
      <c r="L12" s="111">
        <v>684483</v>
      </c>
      <c r="M12" s="113" t="s">
        <v>110</v>
      </c>
      <c r="N12" s="115" t="s">
        <v>655</v>
      </c>
      <c r="O12" s="110">
        <v>681</v>
      </c>
      <c r="P12" s="106"/>
      <c r="Q12" s="108"/>
    </row>
    <row r="13" spans="1:17" ht="10.5" customHeight="1">
      <c r="A13" s="93"/>
      <c r="B13" s="91"/>
      <c r="C13" s="95">
        <v>689</v>
      </c>
      <c r="D13" s="82" t="s">
        <v>600</v>
      </c>
      <c r="E13" s="84">
        <v>815</v>
      </c>
      <c r="F13" s="87">
        <v>6</v>
      </c>
      <c r="G13" s="87">
        <v>1330</v>
      </c>
      <c r="H13" s="87">
        <v>6</v>
      </c>
      <c r="I13" s="111">
        <v>1467</v>
      </c>
      <c r="J13" s="111">
        <v>6</v>
      </c>
      <c r="K13" s="111">
        <v>1467</v>
      </c>
      <c r="L13" s="111">
        <v>7840</v>
      </c>
      <c r="M13" s="113" t="s">
        <v>110</v>
      </c>
      <c r="N13" s="115" t="s">
        <v>656</v>
      </c>
      <c r="O13" s="110">
        <v>689</v>
      </c>
      <c r="P13" s="106"/>
      <c r="Q13" s="108"/>
    </row>
    <row r="14" spans="1:17" ht="14.1" customHeight="1">
      <c r="A14" s="93" t="s">
        <v>645</v>
      </c>
      <c r="B14" s="91"/>
      <c r="C14" s="92"/>
      <c r="D14" s="83" t="s">
        <v>601</v>
      </c>
      <c r="E14" s="85">
        <v>63405</v>
      </c>
      <c r="F14" s="88">
        <v>2007</v>
      </c>
      <c r="G14" s="88">
        <v>173042</v>
      </c>
      <c r="H14" s="88">
        <v>1530</v>
      </c>
      <c r="I14" s="112">
        <v>186532</v>
      </c>
      <c r="J14" s="112">
        <v>1378</v>
      </c>
      <c r="K14" s="112">
        <v>259677</v>
      </c>
      <c r="L14" s="112">
        <v>1089420</v>
      </c>
      <c r="M14" s="114" t="s">
        <v>110</v>
      </c>
      <c r="N14" s="116" t="s">
        <v>657</v>
      </c>
      <c r="O14" s="105"/>
      <c r="P14" s="106"/>
      <c r="Q14" s="108" t="s">
        <v>645</v>
      </c>
    </row>
    <row r="15" spans="1:17" ht="10.5" customHeight="1">
      <c r="A15" s="93"/>
      <c r="B15" s="94">
        <v>69</v>
      </c>
      <c r="C15" s="92"/>
      <c r="D15" s="82" t="s">
        <v>602</v>
      </c>
      <c r="E15" s="84">
        <v>167</v>
      </c>
      <c r="F15" s="87">
        <v>1</v>
      </c>
      <c r="G15" s="87">
        <v>679</v>
      </c>
      <c r="H15" s="87">
        <v>1</v>
      </c>
      <c r="I15" s="111">
        <v>668</v>
      </c>
      <c r="J15" s="111">
        <v>1</v>
      </c>
      <c r="K15" s="111">
        <v>680</v>
      </c>
      <c r="L15" s="111">
        <v>3858</v>
      </c>
      <c r="M15" s="113" t="s">
        <v>110</v>
      </c>
      <c r="N15" s="115" t="s">
        <v>658</v>
      </c>
      <c r="O15" s="105"/>
      <c r="P15" s="109">
        <v>69</v>
      </c>
      <c r="Q15" s="108"/>
    </row>
    <row r="16" spans="1:17" ht="10.5" customHeight="1">
      <c r="A16" s="93"/>
      <c r="B16" s="91"/>
      <c r="C16" s="95">
        <v>691</v>
      </c>
      <c r="D16" s="82" t="s">
        <v>603</v>
      </c>
      <c r="E16" s="84">
        <v>132</v>
      </c>
      <c r="F16" s="87">
        <v>1</v>
      </c>
      <c r="G16" s="87">
        <v>672</v>
      </c>
      <c r="H16" s="87">
        <v>1</v>
      </c>
      <c r="I16" s="111">
        <v>662</v>
      </c>
      <c r="J16" s="111">
        <v>1</v>
      </c>
      <c r="K16" s="111">
        <v>670</v>
      </c>
      <c r="L16" s="111">
        <v>3808</v>
      </c>
      <c r="M16" s="113" t="s">
        <v>110</v>
      </c>
      <c r="N16" s="115" t="s">
        <v>659</v>
      </c>
      <c r="O16" s="110">
        <v>691</v>
      </c>
      <c r="P16" s="106"/>
      <c r="Q16" s="108"/>
    </row>
    <row r="17" spans="1:17" ht="20.100000000000001" customHeight="1">
      <c r="A17" s="93"/>
      <c r="B17" s="91"/>
      <c r="C17" s="95">
        <v>692</v>
      </c>
      <c r="D17" s="82" t="s">
        <v>604</v>
      </c>
      <c r="E17" s="84">
        <v>35</v>
      </c>
      <c r="F17" s="87">
        <v>0</v>
      </c>
      <c r="G17" s="87">
        <v>8</v>
      </c>
      <c r="H17" s="87">
        <v>0</v>
      </c>
      <c r="I17" s="111">
        <v>6</v>
      </c>
      <c r="J17" s="111">
        <v>0</v>
      </c>
      <c r="K17" s="111">
        <v>11</v>
      </c>
      <c r="L17" s="111">
        <v>50</v>
      </c>
      <c r="M17" s="113" t="s">
        <v>110</v>
      </c>
      <c r="N17" s="115" t="s">
        <v>660</v>
      </c>
      <c r="O17" s="110">
        <v>692</v>
      </c>
      <c r="P17" s="106"/>
      <c r="Q17" s="108"/>
    </row>
    <row r="18" spans="1:17" ht="10.5" customHeight="1">
      <c r="A18" s="93"/>
      <c r="B18" s="94">
        <v>70</v>
      </c>
      <c r="C18" s="92"/>
      <c r="D18" s="82" t="s">
        <v>605</v>
      </c>
      <c r="E18" s="84">
        <v>18326</v>
      </c>
      <c r="F18" s="87">
        <v>238</v>
      </c>
      <c r="G18" s="87">
        <v>46305</v>
      </c>
      <c r="H18" s="87">
        <v>122</v>
      </c>
      <c r="I18" s="111">
        <v>46146</v>
      </c>
      <c r="J18" s="111">
        <v>110</v>
      </c>
      <c r="K18" s="111">
        <v>85600</v>
      </c>
      <c r="L18" s="111">
        <v>308050</v>
      </c>
      <c r="M18" s="113" t="s">
        <v>110</v>
      </c>
      <c r="N18" s="115" t="s">
        <v>661</v>
      </c>
      <c r="O18" s="105"/>
      <c r="P18" s="109">
        <v>70</v>
      </c>
      <c r="Q18" s="108"/>
    </row>
    <row r="19" spans="1:17" ht="10.5" customHeight="1">
      <c r="A19" s="93"/>
      <c r="B19" s="91"/>
      <c r="C19" s="95">
        <v>701</v>
      </c>
      <c r="D19" s="82" t="s">
        <v>606</v>
      </c>
      <c r="E19" s="84">
        <v>32</v>
      </c>
      <c r="F19" s="87">
        <v>0</v>
      </c>
      <c r="G19" s="87">
        <v>655</v>
      </c>
      <c r="H19" s="89">
        <v>0</v>
      </c>
      <c r="I19" s="111">
        <v>734</v>
      </c>
      <c r="J19" s="117">
        <v>0</v>
      </c>
      <c r="K19" s="111">
        <v>1137</v>
      </c>
      <c r="L19" s="111">
        <v>4123</v>
      </c>
      <c r="M19" s="113" t="s">
        <v>110</v>
      </c>
      <c r="N19" s="115" t="s">
        <v>662</v>
      </c>
      <c r="O19" s="110">
        <v>701</v>
      </c>
      <c r="P19" s="106"/>
      <c r="Q19" s="108"/>
    </row>
    <row r="20" spans="1:17" ht="10.5" customHeight="1">
      <c r="A20" s="93"/>
      <c r="B20" s="91"/>
      <c r="C20" s="95">
        <v>702</v>
      </c>
      <c r="D20" s="82" t="s">
        <v>607</v>
      </c>
      <c r="E20" s="84">
        <v>18294</v>
      </c>
      <c r="F20" s="87">
        <v>238</v>
      </c>
      <c r="G20" s="87">
        <v>45650</v>
      </c>
      <c r="H20" s="87">
        <v>122</v>
      </c>
      <c r="I20" s="111">
        <v>45412</v>
      </c>
      <c r="J20" s="111">
        <v>110</v>
      </c>
      <c r="K20" s="111">
        <v>84463</v>
      </c>
      <c r="L20" s="111">
        <v>303927</v>
      </c>
      <c r="M20" s="113" t="s">
        <v>110</v>
      </c>
      <c r="N20" s="115" t="s">
        <v>663</v>
      </c>
      <c r="O20" s="110">
        <v>702</v>
      </c>
      <c r="P20" s="106"/>
      <c r="Q20" s="108"/>
    </row>
    <row r="21" spans="1:17" ht="20.100000000000001" customHeight="1">
      <c r="A21" s="93"/>
      <c r="B21" s="94">
        <v>71</v>
      </c>
      <c r="C21" s="92"/>
      <c r="D21" s="82" t="s">
        <v>608</v>
      </c>
      <c r="E21" s="84">
        <v>5283</v>
      </c>
      <c r="F21" s="87">
        <v>223</v>
      </c>
      <c r="G21" s="87">
        <v>36220</v>
      </c>
      <c r="H21" s="87">
        <v>72</v>
      </c>
      <c r="I21" s="111">
        <v>32913</v>
      </c>
      <c r="J21" s="111">
        <v>7</v>
      </c>
      <c r="K21" s="111">
        <v>43976</v>
      </c>
      <c r="L21" s="111">
        <v>199657</v>
      </c>
      <c r="M21" s="113" t="s">
        <v>110</v>
      </c>
      <c r="N21" s="115" t="s">
        <v>664</v>
      </c>
      <c r="O21" s="105"/>
      <c r="P21" s="109">
        <v>71</v>
      </c>
      <c r="Q21" s="108"/>
    </row>
    <row r="22" spans="1:17" ht="20.100000000000001" customHeight="1">
      <c r="A22" s="93"/>
      <c r="B22" s="91"/>
      <c r="C22" s="95">
        <v>711</v>
      </c>
      <c r="D22" s="82" t="s">
        <v>609</v>
      </c>
      <c r="E22" s="84">
        <v>3529</v>
      </c>
      <c r="F22" s="87">
        <v>163</v>
      </c>
      <c r="G22" s="87">
        <v>29601</v>
      </c>
      <c r="H22" s="87">
        <v>56</v>
      </c>
      <c r="I22" s="111">
        <v>25589</v>
      </c>
      <c r="J22" s="111">
        <v>0</v>
      </c>
      <c r="K22" s="111">
        <v>35386</v>
      </c>
      <c r="L22" s="111">
        <v>158388</v>
      </c>
      <c r="M22" s="113" t="s">
        <v>110</v>
      </c>
      <c r="N22" s="115" t="s">
        <v>665</v>
      </c>
      <c r="O22" s="110">
        <v>711</v>
      </c>
      <c r="P22" s="106"/>
      <c r="Q22" s="108"/>
    </row>
    <row r="23" spans="1:17" ht="10.5" customHeight="1">
      <c r="A23" s="93"/>
      <c r="B23" s="91"/>
      <c r="C23" s="95">
        <v>712</v>
      </c>
      <c r="D23" s="82" t="s">
        <v>610</v>
      </c>
      <c r="E23" s="84">
        <v>1754</v>
      </c>
      <c r="F23" s="87">
        <v>60</v>
      </c>
      <c r="G23" s="87">
        <v>6619</v>
      </c>
      <c r="H23" s="87">
        <v>16</v>
      </c>
      <c r="I23" s="111">
        <v>7323</v>
      </c>
      <c r="J23" s="111">
        <v>7</v>
      </c>
      <c r="K23" s="111">
        <v>8590</v>
      </c>
      <c r="L23" s="111">
        <v>41269</v>
      </c>
      <c r="M23" s="113" t="s">
        <v>110</v>
      </c>
      <c r="N23" s="115" t="s">
        <v>666</v>
      </c>
      <c r="O23" s="110">
        <v>712</v>
      </c>
      <c r="P23" s="106"/>
      <c r="Q23" s="108"/>
    </row>
    <row r="24" spans="1:17" ht="10.5" customHeight="1">
      <c r="A24" s="93"/>
      <c r="B24" s="94">
        <v>72</v>
      </c>
      <c r="C24" s="92"/>
      <c r="D24" s="82" t="s">
        <v>611</v>
      </c>
      <c r="E24" s="84">
        <v>592</v>
      </c>
      <c r="F24" s="87">
        <v>4</v>
      </c>
      <c r="G24" s="87">
        <v>10419</v>
      </c>
      <c r="H24" s="87">
        <v>2</v>
      </c>
      <c r="I24" s="111">
        <v>11278</v>
      </c>
      <c r="J24" s="111">
        <v>5</v>
      </c>
      <c r="K24" s="111">
        <v>7327</v>
      </c>
      <c r="L24" s="111">
        <v>50558</v>
      </c>
      <c r="M24" s="113" t="s">
        <v>110</v>
      </c>
      <c r="N24" s="115" t="s">
        <v>667</v>
      </c>
      <c r="O24" s="105"/>
      <c r="P24" s="109">
        <v>72</v>
      </c>
      <c r="Q24" s="108"/>
    </row>
    <row r="25" spans="1:17" ht="20.100000000000001" customHeight="1">
      <c r="A25" s="93"/>
      <c r="B25" s="91"/>
      <c r="C25" s="95">
        <v>721</v>
      </c>
      <c r="D25" s="82" t="s">
        <v>612</v>
      </c>
      <c r="E25" s="84">
        <v>203</v>
      </c>
      <c r="F25" s="87">
        <v>0</v>
      </c>
      <c r="G25" s="87">
        <v>8795</v>
      </c>
      <c r="H25" s="120">
        <v>0</v>
      </c>
      <c r="I25" s="111">
        <v>8857</v>
      </c>
      <c r="J25" s="111">
        <v>0</v>
      </c>
      <c r="K25" s="111">
        <v>5402</v>
      </c>
      <c r="L25" s="111">
        <v>39967</v>
      </c>
      <c r="M25" s="113" t="s">
        <v>110</v>
      </c>
      <c r="N25" s="115" t="s">
        <v>668</v>
      </c>
      <c r="O25" s="110">
        <v>721</v>
      </c>
      <c r="P25" s="106"/>
      <c r="Q25" s="108"/>
    </row>
    <row r="26" spans="1:17" ht="20.100000000000001" customHeight="1">
      <c r="A26" s="93"/>
      <c r="B26" s="91"/>
      <c r="C26" s="95">
        <v>722</v>
      </c>
      <c r="D26" s="82" t="s">
        <v>613</v>
      </c>
      <c r="E26" s="84">
        <v>33</v>
      </c>
      <c r="F26" s="87">
        <v>0</v>
      </c>
      <c r="G26" s="87">
        <v>64</v>
      </c>
      <c r="H26" s="87">
        <v>1</v>
      </c>
      <c r="I26" s="111">
        <v>35</v>
      </c>
      <c r="J26" s="111">
        <v>0</v>
      </c>
      <c r="K26" s="111">
        <v>38</v>
      </c>
      <c r="L26" s="111">
        <v>271</v>
      </c>
      <c r="M26" s="113" t="s">
        <v>110</v>
      </c>
      <c r="N26" s="115" t="s">
        <v>669</v>
      </c>
      <c r="O26" s="110">
        <v>722</v>
      </c>
      <c r="P26" s="106"/>
      <c r="Q26" s="108"/>
    </row>
    <row r="27" spans="1:17" ht="10.5" customHeight="1">
      <c r="A27" s="93"/>
      <c r="B27" s="91"/>
      <c r="C27" s="95">
        <v>723</v>
      </c>
      <c r="D27" s="82" t="s">
        <v>614</v>
      </c>
      <c r="E27" s="84">
        <v>356</v>
      </c>
      <c r="F27" s="87">
        <v>4</v>
      </c>
      <c r="G27" s="87">
        <v>1559</v>
      </c>
      <c r="H27" s="87">
        <v>0</v>
      </c>
      <c r="I27" s="111">
        <v>2386</v>
      </c>
      <c r="J27" s="111">
        <v>4</v>
      </c>
      <c r="K27" s="111">
        <v>1886</v>
      </c>
      <c r="L27" s="111">
        <v>10321</v>
      </c>
      <c r="M27" s="113" t="s">
        <v>110</v>
      </c>
      <c r="N27" s="115" t="s">
        <v>670</v>
      </c>
      <c r="O27" s="110">
        <v>723</v>
      </c>
      <c r="P27" s="106"/>
      <c r="Q27" s="108"/>
    </row>
    <row r="28" spans="1:17" ht="10.5" customHeight="1">
      <c r="A28" s="93"/>
      <c r="B28" s="94">
        <v>73</v>
      </c>
      <c r="C28" s="92"/>
      <c r="D28" s="82" t="s">
        <v>615</v>
      </c>
      <c r="E28" s="84">
        <v>17476</v>
      </c>
      <c r="F28" s="87">
        <v>178</v>
      </c>
      <c r="G28" s="87">
        <v>34353</v>
      </c>
      <c r="H28" s="87">
        <v>156</v>
      </c>
      <c r="I28" s="111">
        <v>36388</v>
      </c>
      <c r="J28" s="111">
        <v>137</v>
      </c>
      <c r="K28" s="111">
        <v>46015</v>
      </c>
      <c r="L28" s="111">
        <v>210291</v>
      </c>
      <c r="M28" s="113" t="s">
        <v>110</v>
      </c>
      <c r="N28" s="115" t="s">
        <v>671</v>
      </c>
      <c r="O28" s="105"/>
      <c r="P28" s="109">
        <v>73</v>
      </c>
      <c r="Q28" s="108"/>
    </row>
    <row r="29" spans="1:17" ht="10.5" customHeight="1">
      <c r="A29" s="93"/>
      <c r="B29" s="91"/>
      <c r="C29" s="95">
        <v>731</v>
      </c>
      <c r="D29" s="82" t="s">
        <v>616</v>
      </c>
      <c r="E29" s="84">
        <v>17309</v>
      </c>
      <c r="F29" s="87">
        <v>177</v>
      </c>
      <c r="G29" s="87">
        <v>33776</v>
      </c>
      <c r="H29" s="87">
        <v>156</v>
      </c>
      <c r="I29" s="111">
        <v>35681</v>
      </c>
      <c r="J29" s="111">
        <v>136</v>
      </c>
      <c r="K29" s="111">
        <v>45106</v>
      </c>
      <c r="L29" s="111">
        <v>206359</v>
      </c>
      <c r="M29" s="113" t="s">
        <v>110</v>
      </c>
      <c r="N29" s="115" t="s">
        <v>672</v>
      </c>
      <c r="O29" s="110">
        <v>731</v>
      </c>
      <c r="P29" s="106"/>
      <c r="Q29" s="108"/>
    </row>
    <row r="30" spans="1:17" ht="10.5" customHeight="1">
      <c r="A30" s="93"/>
      <c r="B30" s="91"/>
      <c r="C30" s="95">
        <v>732</v>
      </c>
      <c r="D30" s="82" t="s">
        <v>617</v>
      </c>
      <c r="E30" s="84">
        <v>167</v>
      </c>
      <c r="F30" s="87">
        <v>1</v>
      </c>
      <c r="G30" s="87">
        <v>577</v>
      </c>
      <c r="H30" s="87">
        <v>0</v>
      </c>
      <c r="I30" s="111">
        <v>707</v>
      </c>
      <c r="J30" s="111">
        <v>0</v>
      </c>
      <c r="K30" s="111">
        <v>908</v>
      </c>
      <c r="L30" s="111">
        <v>3931</v>
      </c>
      <c r="M30" s="113" t="s">
        <v>110</v>
      </c>
      <c r="N30" s="115" t="s">
        <v>673</v>
      </c>
      <c r="O30" s="110">
        <v>732</v>
      </c>
      <c r="P30" s="106"/>
      <c r="Q30" s="108"/>
    </row>
    <row r="31" spans="1:17" ht="10.5" customHeight="1">
      <c r="A31" s="93"/>
      <c r="B31" s="94">
        <v>74</v>
      </c>
      <c r="C31" s="92"/>
      <c r="D31" s="82" t="s">
        <v>618</v>
      </c>
      <c r="E31" s="84">
        <v>11360</v>
      </c>
      <c r="F31" s="87">
        <v>1019</v>
      </c>
      <c r="G31" s="87">
        <v>18804</v>
      </c>
      <c r="H31" s="87">
        <v>948</v>
      </c>
      <c r="I31" s="111">
        <v>19249</v>
      </c>
      <c r="J31" s="111">
        <v>896</v>
      </c>
      <c r="K31" s="111">
        <v>25416</v>
      </c>
      <c r="L31" s="111">
        <v>121185</v>
      </c>
      <c r="M31" s="113" t="s">
        <v>110</v>
      </c>
      <c r="N31" s="115" t="s">
        <v>674</v>
      </c>
      <c r="O31" s="105"/>
      <c r="P31" s="109">
        <v>74</v>
      </c>
      <c r="Q31" s="108"/>
    </row>
    <row r="32" spans="1:17" ht="10.5" customHeight="1">
      <c r="A32" s="93"/>
      <c r="B32" s="91"/>
      <c r="C32" s="95">
        <v>740</v>
      </c>
      <c r="D32" s="82" t="s">
        <v>619</v>
      </c>
      <c r="E32" s="84">
        <v>11360</v>
      </c>
      <c r="F32" s="87">
        <v>1019</v>
      </c>
      <c r="G32" s="87">
        <v>18804</v>
      </c>
      <c r="H32" s="87">
        <v>948</v>
      </c>
      <c r="I32" s="111">
        <v>19249</v>
      </c>
      <c r="J32" s="111">
        <v>896</v>
      </c>
      <c r="K32" s="111">
        <v>25416</v>
      </c>
      <c r="L32" s="111">
        <v>121185</v>
      </c>
      <c r="M32" s="113" t="s">
        <v>110</v>
      </c>
      <c r="N32" s="115" t="s">
        <v>675</v>
      </c>
      <c r="O32" s="110">
        <v>740</v>
      </c>
      <c r="P32" s="106"/>
      <c r="Q32" s="108"/>
    </row>
    <row r="33" spans="1:17" ht="10.5" customHeight="1">
      <c r="A33" s="93"/>
      <c r="B33" s="94">
        <v>75</v>
      </c>
      <c r="C33" s="92"/>
      <c r="D33" s="82" t="s">
        <v>620</v>
      </c>
      <c r="E33" s="84">
        <v>7</v>
      </c>
      <c r="F33" s="87">
        <v>0</v>
      </c>
      <c r="G33" s="87">
        <v>1</v>
      </c>
      <c r="H33" s="87">
        <v>0</v>
      </c>
      <c r="I33" s="111">
        <v>1</v>
      </c>
      <c r="J33" s="111">
        <v>0</v>
      </c>
      <c r="K33" s="111">
        <v>1</v>
      </c>
      <c r="L33" s="111">
        <v>7</v>
      </c>
      <c r="M33" s="113" t="s">
        <v>110</v>
      </c>
      <c r="N33" s="115" t="s">
        <v>676</v>
      </c>
      <c r="O33" s="105"/>
      <c r="P33" s="109">
        <v>75</v>
      </c>
      <c r="Q33" s="108"/>
    </row>
    <row r="34" spans="1:17" ht="10.5" customHeight="1">
      <c r="A34" s="93"/>
      <c r="B34" s="91"/>
      <c r="C34" s="95">
        <v>750</v>
      </c>
      <c r="D34" s="82" t="s">
        <v>621</v>
      </c>
      <c r="E34" s="84">
        <v>7</v>
      </c>
      <c r="F34" s="87">
        <v>0</v>
      </c>
      <c r="G34" s="87">
        <v>1</v>
      </c>
      <c r="H34" s="87">
        <v>0</v>
      </c>
      <c r="I34" s="111">
        <v>1</v>
      </c>
      <c r="J34" s="111">
        <v>0</v>
      </c>
      <c r="K34" s="111">
        <v>1</v>
      </c>
      <c r="L34" s="111">
        <v>7</v>
      </c>
      <c r="M34" s="113" t="s">
        <v>110</v>
      </c>
      <c r="N34" s="115" t="s">
        <v>677</v>
      </c>
      <c r="O34" s="110">
        <v>750</v>
      </c>
      <c r="P34" s="106"/>
      <c r="Q34" s="108"/>
    </row>
    <row r="35" spans="1:17" ht="10.5" customHeight="1">
      <c r="A35" s="93"/>
      <c r="B35" s="94">
        <v>76</v>
      </c>
      <c r="C35" s="92"/>
      <c r="D35" s="82" t="s">
        <v>622</v>
      </c>
      <c r="E35" s="84">
        <v>10194</v>
      </c>
      <c r="F35" s="87">
        <v>344</v>
      </c>
      <c r="G35" s="87">
        <v>26262</v>
      </c>
      <c r="H35" s="87">
        <v>230</v>
      </c>
      <c r="I35" s="111">
        <v>39890</v>
      </c>
      <c r="J35" s="111">
        <v>223</v>
      </c>
      <c r="K35" s="111">
        <v>50662</v>
      </c>
      <c r="L35" s="111">
        <v>195815</v>
      </c>
      <c r="M35" s="113" t="s">
        <v>110</v>
      </c>
      <c r="N35" s="115" t="s">
        <v>678</v>
      </c>
      <c r="O35" s="105"/>
      <c r="P35" s="109">
        <v>76</v>
      </c>
      <c r="Q35" s="108"/>
    </row>
    <row r="36" spans="1:17" ht="10.5" customHeight="1">
      <c r="A36" s="93"/>
      <c r="B36" s="91"/>
      <c r="C36" s="95">
        <v>760</v>
      </c>
      <c r="D36" s="82" t="s">
        <v>623</v>
      </c>
      <c r="E36" s="84">
        <v>10194</v>
      </c>
      <c r="F36" s="87">
        <v>344</v>
      </c>
      <c r="G36" s="87">
        <v>26262</v>
      </c>
      <c r="H36" s="87">
        <v>230</v>
      </c>
      <c r="I36" s="111">
        <v>39890</v>
      </c>
      <c r="J36" s="111">
        <v>223</v>
      </c>
      <c r="K36" s="111">
        <v>50662</v>
      </c>
      <c r="L36" s="111">
        <v>195815</v>
      </c>
      <c r="M36" s="113" t="s">
        <v>110</v>
      </c>
      <c r="N36" s="115" t="s">
        <v>679</v>
      </c>
      <c r="O36" s="110">
        <v>760</v>
      </c>
      <c r="P36" s="106"/>
      <c r="Q36" s="108"/>
    </row>
    <row r="37" spans="1:17" ht="14.1" customHeight="1">
      <c r="A37" s="93" t="s">
        <v>646</v>
      </c>
      <c r="B37" s="91"/>
      <c r="C37" s="92"/>
      <c r="D37" s="83" t="s">
        <v>624</v>
      </c>
      <c r="E37" s="85">
        <v>35117</v>
      </c>
      <c r="F37" s="88">
        <v>434</v>
      </c>
      <c r="G37" s="88">
        <v>118585</v>
      </c>
      <c r="H37" s="88">
        <v>537</v>
      </c>
      <c r="I37" s="112">
        <v>119188</v>
      </c>
      <c r="J37" s="112">
        <v>401</v>
      </c>
      <c r="K37" s="112">
        <v>135938</v>
      </c>
      <c r="L37" s="112">
        <v>710661</v>
      </c>
      <c r="M37" s="114" t="s">
        <v>110</v>
      </c>
      <c r="N37" s="116" t="s">
        <v>680</v>
      </c>
      <c r="O37" s="105"/>
      <c r="P37" s="106"/>
      <c r="Q37" s="108" t="s">
        <v>646</v>
      </c>
    </row>
    <row r="38" spans="1:17" ht="10.5" customHeight="1">
      <c r="A38" s="93"/>
      <c r="B38" s="94">
        <v>77</v>
      </c>
      <c r="C38" s="92"/>
      <c r="D38" s="82" t="s">
        <v>625</v>
      </c>
      <c r="E38" s="84">
        <v>7604</v>
      </c>
      <c r="F38" s="87">
        <v>169</v>
      </c>
      <c r="G38" s="87">
        <v>56912</v>
      </c>
      <c r="H38" s="87">
        <v>201</v>
      </c>
      <c r="I38" s="111">
        <v>57653</v>
      </c>
      <c r="J38" s="111">
        <v>165</v>
      </c>
      <c r="K38" s="111">
        <v>66407</v>
      </c>
      <c r="L38" s="111">
        <v>343443</v>
      </c>
      <c r="M38" s="113" t="s">
        <v>110</v>
      </c>
      <c r="N38" s="115" t="s">
        <v>681</v>
      </c>
      <c r="O38" s="105"/>
      <c r="P38" s="109">
        <v>77</v>
      </c>
      <c r="Q38" s="108"/>
    </row>
    <row r="39" spans="1:17" ht="10.5" customHeight="1">
      <c r="A39" s="93"/>
      <c r="B39" s="91"/>
      <c r="C39" s="95">
        <v>771</v>
      </c>
      <c r="D39" s="82" t="s">
        <v>626</v>
      </c>
      <c r="E39" s="84">
        <v>2647</v>
      </c>
      <c r="F39" s="87">
        <v>30</v>
      </c>
      <c r="G39" s="87">
        <v>10920</v>
      </c>
      <c r="H39" s="87">
        <v>63</v>
      </c>
      <c r="I39" s="111">
        <v>11045</v>
      </c>
      <c r="J39" s="111">
        <v>31</v>
      </c>
      <c r="K39" s="111">
        <v>11669</v>
      </c>
      <c r="L39" s="111">
        <v>68177</v>
      </c>
      <c r="M39" s="113" t="s">
        <v>110</v>
      </c>
      <c r="N39" s="115" t="s">
        <v>682</v>
      </c>
      <c r="O39" s="110">
        <v>771</v>
      </c>
      <c r="P39" s="106"/>
      <c r="Q39" s="108"/>
    </row>
    <row r="40" spans="1:17" ht="10.5" customHeight="1">
      <c r="A40" s="93"/>
      <c r="B40" s="91"/>
      <c r="C40" s="95">
        <v>772</v>
      </c>
      <c r="D40" s="82" t="s">
        <v>627</v>
      </c>
      <c r="E40" s="84">
        <v>2723</v>
      </c>
      <c r="F40" s="87">
        <v>30</v>
      </c>
      <c r="G40" s="87">
        <v>44675</v>
      </c>
      <c r="H40" s="87">
        <v>28</v>
      </c>
      <c r="I40" s="111">
        <v>45137</v>
      </c>
      <c r="J40" s="111">
        <v>29</v>
      </c>
      <c r="K40" s="111">
        <v>52557</v>
      </c>
      <c r="L40" s="111">
        <v>265922</v>
      </c>
      <c r="M40" s="113" t="s">
        <v>110</v>
      </c>
      <c r="N40" s="115" t="s">
        <v>683</v>
      </c>
      <c r="O40" s="110">
        <v>772</v>
      </c>
      <c r="P40" s="106"/>
      <c r="Q40" s="108"/>
    </row>
    <row r="41" spans="1:17" ht="10.5" customHeight="1">
      <c r="A41" s="93"/>
      <c r="B41" s="91"/>
      <c r="C41" s="95">
        <v>773</v>
      </c>
      <c r="D41" s="82" t="s">
        <v>628</v>
      </c>
      <c r="E41" s="84">
        <v>2083</v>
      </c>
      <c r="F41" s="87">
        <v>109</v>
      </c>
      <c r="G41" s="87">
        <v>945</v>
      </c>
      <c r="H41" s="87">
        <v>109</v>
      </c>
      <c r="I41" s="111">
        <v>1092</v>
      </c>
      <c r="J41" s="111">
        <v>105</v>
      </c>
      <c r="K41" s="111">
        <v>1753</v>
      </c>
      <c r="L41" s="111">
        <v>7270</v>
      </c>
      <c r="M41" s="113" t="s">
        <v>110</v>
      </c>
      <c r="N41" s="115" t="s">
        <v>684</v>
      </c>
      <c r="O41" s="110">
        <v>773</v>
      </c>
      <c r="P41" s="106"/>
      <c r="Q41" s="108"/>
    </row>
    <row r="42" spans="1:17" ht="20.100000000000001" customHeight="1">
      <c r="A42" s="93"/>
      <c r="B42" s="91"/>
      <c r="C42" s="95">
        <v>774</v>
      </c>
      <c r="D42" s="82" t="s">
        <v>629</v>
      </c>
      <c r="E42" s="84">
        <v>151</v>
      </c>
      <c r="F42" s="87">
        <v>0</v>
      </c>
      <c r="G42" s="87">
        <v>371</v>
      </c>
      <c r="H42" s="87">
        <v>1</v>
      </c>
      <c r="I42" s="111">
        <v>379</v>
      </c>
      <c r="J42" s="111">
        <v>0</v>
      </c>
      <c r="K42" s="111">
        <v>427</v>
      </c>
      <c r="L42" s="111">
        <v>2074</v>
      </c>
      <c r="M42" s="113" t="s">
        <v>110</v>
      </c>
      <c r="N42" s="115" t="s">
        <v>685</v>
      </c>
      <c r="O42" s="110">
        <v>774</v>
      </c>
      <c r="P42" s="106"/>
      <c r="Q42" s="108"/>
    </row>
    <row r="43" spans="1:17" ht="10.5" customHeight="1">
      <c r="A43" s="93"/>
      <c r="B43" s="94">
        <v>78</v>
      </c>
      <c r="C43" s="92"/>
      <c r="D43" s="82" t="s">
        <v>630</v>
      </c>
      <c r="E43" s="84">
        <v>5857</v>
      </c>
      <c r="F43" s="87">
        <v>24</v>
      </c>
      <c r="G43" s="87">
        <v>14740</v>
      </c>
      <c r="H43" s="87">
        <v>115</v>
      </c>
      <c r="I43" s="111">
        <v>14347</v>
      </c>
      <c r="J43" s="111">
        <v>13</v>
      </c>
      <c r="K43" s="111">
        <v>15963</v>
      </c>
      <c r="L43" s="111">
        <v>88673</v>
      </c>
      <c r="M43" s="113" t="s">
        <v>110</v>
      </c>
      <c r="N43" s="115" t="s">
        <v>686</v>
      </c>
      <c r="O43" s="105"/>
      <c r="P43" s="109">
        <v>78</v>
      </c>
      <c r="Q43" s="108"/>
    </row>
    <row r="44" spans="1:17" ht="10.5" customHeight="1">
      <c r="A44" s="93"/>
      <c r="B44" s="91"/>
      <c r="C44" s="95">
        <v>781</v>
      </c>
      <c r="D44" s="82" t="s">
        <v>631</v>
      </c>
      <c r="E44" s="84">
        <v>2110</v>
      </c>
      <c r="F44" s="87">
        <v>10</v>
      </c>
      <c r="G44" s="87">
        <v>5028</v>
      </c>
      <c r="H44" s="87">
        <v>72</v>
      </c>
      <c r="I44" s="111">
        <v>5128</v>
      </c>
      <c r="J44" s="111">
        <v>1</v>
      </c>
      <c r="K44" s="111">
        <v>5800</v>
      </c>
      <c r="L44" s="111">
        <v>32273</v>
      </c>
      <c r="M44" s="113" t="s">
        <v>110</v>
      </c>
      <c r="N44" s="115" t="s">
        <v>687</v>
      </c>
      <c r="O44" s="110">
        <v>781</v>
      </c>
      <c r="P44" s="106"/>
      <c r="Q44" s="108"/>
    </row>
    <row r="45" spans="1:17" ht="10.5" customHeight="1">
      <c r="A45" s="93"/>
      <c r="B45" s="91"/>
      <c r="C45" s="95">
        <v>782</v>
      </c>
      <c r="D45" s="82" t="s">
        <v>632</v>
      </c>
      <c r="E45" s="84">
        <v>3747</v>
      </c>
      <c r="F45" s="87">
        <v>14</v>
      </c>
      <c r="G45" s="87">
        <v>9711</v>
      </c>
      <c r="H45" s="87">
        <v>43</v>
      </c>
      <c r="I45" s="111">
        <v>9219</v>
      </c>
      <c r="J45" s="111">
        <v>12</v>
      </c>
      <c r="K45" s="111">
        <v>10163</v>
      </c>
      <c r="L45" s="111">
        <v>56401</v>
      </c>
      <c r="M45" s="113" t="s">
        <v>110</v>
      </c>
      <c r="N45" s="115" t="s">
        <v>688</v>
      </c>
      <c r="O45" s="110">
        <v>782</v>
      </c>
      <c r="P45" s="106"/>
      <c r="Q45" s="108"/>
    </row>
    <row r="46" spans="1:17" ht="20.100000000000001" customHeight="1">
      <c r="A46" s="93"/>
      <c r="B46" s="94">
        <v>79</v>
      </c>
      <c r="C46" s="92"/>
      <c r="D46" s="82" t="s">
        <v>633</v>
      </c>
      <c r="E46" s="84">
        <v>4051</v>
      </c>
      <c r="F46" s="87">
        <v>1</v>
      </c>
      <c r="G46" s="87">
        <v>5068</v>
      </c>
      <c r="H46" s="87">
        <v>3</v>
      </c>
      <c r="I46" s="111">
        <v>5315</v>
      </c>
      <c r="J46" s="111">
        <v>7</v>
      </c>
      <c r="K46" s="111">
        <v>5843</v>
      </c>
      <c r="L46" s="111">
        <v>27437</v>
      </c>
      <c r="M46" s="113" t="s">
        <v>110</v>
      </c>
      <c r="N46" s="115" t="s">
        <v>689</v>
      </c>
      <c r="O46" s="105"/>
      <c r="P46" s="109">
        <v>79</v>
      </c>
      <c r="Q46" s="108"/>
    </row>
    <row r="47" spans="1:17" ht="20.100000000000001" customHeight="1">
      <c r="A47" s="93"/>
      <c r="B47" s="91"/>
      <c r="C47" s="95">
        <v>790</v>
      </c>
      <c r="D47" s="82" t="s">
        <v>634</v>
      </c>
      <c r="E47" s="84">
        <v>4051</v>
      </c>
      <c r="F47" s="87">
        <v>1</v>
      </c>
      <c r="G47" s="87">
        <v>5068</v>
      </c>
      <c r="H47" s="87">
        <v>3</v>
      </c>
      <c r="I47" s="111">
        <v>5315</v>
      </c>
      <c r="J47" s="111">
        <v>7</v>
      </c>
      <c r="K47" s="111">
        <v>5843</v>
      </c>
      <c r="L47" s="111">
        <v>27437</v>
      </c>
      <c r="M47" s="113" t="s">
        <v>110</v>
      </c>
      <c r="N47" s="115" t="s">
        <v>690</v>
      </c>
      <c r="O47" s="110">
        <v>790</v>
      </c>
      <c r="P47" s="106"/>
      <c r="Q47" s="108"/>
    </row>
    <row r="48" spans="1:17" ht="10.5" customHeight="1">
      <c r="A48" s="93"/>
      <c r="B48" s="94">
        <v>80</v>
      </c>
      <c r="C48" s="92"/>
      <c r="D48" s="82" t="s">
        <v>635</v>
      </c>
      <c r="E48" s="84">
        <v>828</v>
      </c>
      <c r="F48" s="87">
        <v>37</v>
      </c>
      <c r="G48" s="87">
        <v>15035</v>
      </c>
      <c r="H48" s="87">
        <v>3</v>
      </c>
      <c r="I48" s="111">
        <v>14023</v>
      </c>
      <c r="J48" s="111">
        <v>-2</v>
      </c>
      <c r="K48" s="111">
        <v>15349</v>
      </c>
      <c r="L48" s="111">
        <v>85932</v>
      </c>
      <c r="M48" s="113" t="s">
        <v>110</v>
      </c>
      <c r="N48" s="115" t="s">
        <v>691</v>
      </c>
      <c r="O48" s="105"/>
      <c r="P48" s="109">
        <v>80</v>
      </c>
      <c r="Q48" s="108"/>
    </row>
    <row r="49" spans="1:17" ht="10.5" customHeight="1">
      <c r="A49" s="93"/>
      <c r="B49" s="91"/>
      <c r="C49" s="95">
        <v>800</v>
      </c>
      <c r="D49" s="82" t="s">
        <v>636</v>
      </c>
      <c r="E49" s="84">
        <v>828</v>
      </c>
      <c r="F49" s="87">
        <v>37</v>
      </c>
      <c r="G49" s="87">
        <v>15035</v>
      </c>
      <c r="H49" s="87">
        <v>3</v>
      </c>
      <c r="I49" s="111">
        <v>14023</v>
      </c>
      <c r="J49" s="111">
        <v>-2</v>
      </c>
      <c r="K49" s="111">
        <v>15349</v>
      </c>
      <c r="L49" s="111">
        <v>85932</v>
      </c>
      <c r="M49" s="113" t="s">
        <v>110</v>
      </c>
      <c r="N49" s="115" t="s">
        <v>692</v>
      </c>
      <c r="O49" s="110">
        <v>800</v>
      </c>
      <c r="P49" s="106"/>
      <c r="Q49" s="108"/>
    </row>
    <row r="50" spans="1:17" ht="10.5" customHeight="1">
      <c r="A50" s="93"/>
      <c r="B50" s="94">
        <v>81</v>
      </c>
      <c r="C50" s="92"/>
      <c r="D50" s="82" t="s">
        <v>637</v>
      </c>
      <c r="E50" s="84">
        <v>10866</v>
      </c>
      <c r="F50" s="87">
        <v>100</v>
      </c>
      <c r="G50" s="87">
        <v>17965</v>
      </c>
      <c r="H50" s="87">
        <v>104</v>
      </c>
      <c r="I50" s="111">
        <v>18216</v>
      </c>
      <c r="J50" s="111">
        <v>105</v>
      </c>
      <c r="K50" s="111">
        <v>21307</v>
      </c>
      <c r="L50" s="111">
        <v>110383</v>
      </c>
      <c r="M50" s="113" t="s">
        <v>110</v>
      </c>
      <c r="N50" s="115" t="s">
        <v>693</v>
      </c>
      <c r="O50" s="105"/>
      <c r="P50" s="109">
        <v>81</v>
      </c>
      <c r="Q50" s="108"/>
    </row>
    <row r="51" spans="1:17" ht="10.5" customHeight="1">
      <c r="A51" s="93"/>
      <c r="B51" s="91"/>
      <c r="C51" s="95">
        <v>811</v>
      </c>
      <c r="D51" s="82" t="s">
        <v>638</v>
      </c>
      <c r="E51" s="84">
        <v>685</v>
      </c>
      <c r="F51" s="87">
        <v>2</v>
      </c>
      <c r="G51" s="87">
        <v>3854</v>
      </c>
      <c r="H51" s="87">
        <v>2</v>
      </c>
      <c r="I51" s="111">
        <v>3874</v>
      </c>
      <c r="J51" s="111">
        <v>3</v>
      </c>
      <c r="K51" s="111">
        <v>4201</v>
      </c>
      <c r="L51" s="111">
        <v>22925</v>
      </c>
      <c r="M51" s="113" t="s">
        <v>110</v>
      </c>
      <c r="N51" s="115" t="s">
        <v>694</v>
      </c>
      <c r="O51" s="110">
        <v>811</v>
      </c>
      <c r="P51" s="106"/>
      <c r="Q51" s="108"/>
    </row>
    <row r="52" spans="1:17" ht="10.5" customHeight="1">
      <c r="A52" s="93"/>
      <c r="B52" s="91"/>
      <c r="C52" s="95">
        <v>812</v>
      </c>
      <c r="D52" s="82" t="s">
        <v>639</v>
      </c>
      <c r="E52" s="84">
        <v>8275</v>
      </c>
      <c r="F52" s="87">
        <v>83</v>
      </c>
      <c r="G52" s="87">
        <v>11846</v>
      </c>
      <c r="H52" s="87">
        <v>91</v>
      </c>
      <c r="I52" s="111">
        <v>12002</v>
      </c>
      <c r="J52" s="111">
        <v>88</v>
      </c>
      <c r="K52" s="111">
        <v>14129</v>
      </c>
      <c r="L52" s="111">
        <v>73575</v>
      </c>
      <c r="M52" s="113" t="s">
        <v>110</v>
      </c>
      <c r="N52" s="115" t="s">
        <v>695</v>
      </c>
      <c r="O52" s="110">
        <v>812</v>
      </c>
      <c r="P52" s="106"/>
      <c r="Q52" s="108"/>
    </row>
    <row r="53" spans="1:17" ht="10.5" customHeight="1">
      <c r="A53" s="93"/>
      <c r="B53" s="91"/>
      <c r="C53" s="95">
        <v>813</v>
      </c>
      <c r="D53" s="82" t="s">
        <v>640</v>
      </c>
      <c r="E53" s="84">
        <v>1906</v>
      </c>
      <c r="F53" s="87">
        <v>14</v>
      </c>
      <c r="G53" s="87">
        <v>2266</v>
      </c>
      <c r="H53" s="87">
        <v>11</v>
      </c>
      <c r="I53" s="111">
        <v>2340</v>
      </c>
      <c r="J53" s="111">
        <v>14</v>
      </c>
      <c r="K53" s="111">
        <v>2977</v>
      </c>
      <c r="L53" s="111">
        <v>13883</v>
      </c>
      <c r="M53" s="113" t="s">
        <v>110</v>
      </c>
      <c r="N53" s="115" t="s">
        <v>696</v>
      </c>
      <c r="O53" s="110">
        <v>813</v>
      </c>
      <c r="P53" s="106"/>
      <c r="Q53" s="108"/>
    </row>
    <row r="54" spans="1:17" ht="10.5" customHeight="1">
      <c r="A54" s="93"/>
      <c r="B54" s="94">
        <v>82</v>
      </c>
      <c r="C54" s="92"/>
      <c r="D54" s="82" t="s">
        <v>641</v>
      </c>
      <c r="E54" s="84">
        <v>5911</v>
      </c>
      <c r="F54" s="87">
        <v>105</v>
      </c>
      <c r="G54" s="87">
        <v>8866</v>
      </c>
      <c r="H54" s="87">
        <v>111</v>
      </c>
      <c r="I54" s="111">
        <v>9633</v>
      </c>
      <c r="J54" s="111">
        <v>113</v>
      </c>
      <c r="K54" s="111">
        <v>11070</v>
      </c>
      <c r="L54" s="111">
        <v>54792</v>
      </c>
      <c r="M54" s="113" t="s">
        <v>110</v>
      </c>
      <c r="N54" s="115" t="s">
        <v>697</v>
      </c>
      <c r="O54" s="105"/>
      <c r="P54" s="109">
        <v>82</v>
      </c>
      <c r="Q54" s="108"/>
    </row>
    <row r="55" spans="1:17" ht="10.5" customHeight="1">
      <c r="A55" s="93"/>
      <c r="B55" s="91"/>
      <c r="C55" s="95">
        <v>820</v>
      </c>
      <c r="D55" s="82" t="s">
        <v>642</v>
      </c>
      <c r="E55" s="84">
        <v>5911</v>
      </c>
      <c r="F55" s="87">
        <v>105</v>
      </c>
      <c r="G55" s="87">
        <v>8866</v>
      </c>
      <c r="H55" s="87">
        <v>111</v>
      </c>
      <c r="I55" s="111">
        <v>9633</v>
      </c>
      <c r="J55" s="111">
        <v>113</v>
      </c>
      <c r="K55" s="111">
        <v>11070</v>
      </c>
      <c r="L55" s="111">
        <v>54792</v>
      </c>
      <c r="M55" s="113" t="s">
        <v>110</v>
      </c>
      <c r="N55" s="115" t="s">
        <v>698</v>
      </c>
      <c r="O55" s="110">
        <v>820</v>
      </c>
      <c r="P55" s="106"/>
      <c r="Q55" s="108"/>
    </row>
    <row r="56" spans="1:17" ht="20.100000000000001" customHeight="1">
      <c r="A56" s="93" t="s">
        <v>647</v>
      </c>
      <c r="B56" s="91"/>
      <c r="C56" s="92"/>
      <c r="D56" s="83" t="s">
        <v>643</v>
      </c>
      <c r="E56" s="85">
        <v>12</v>
      </c>
      <c r="F56" s="122">
        <v>0</v>
      </c>
      <c r="G56" s="88">
        <v>877</v>
      </c>
      <c r="H56" s="122">
        <v>0</v>
      </c>
      <c r="I56" s="112">
        <v>640</v>
      </c>
      <c r="J56" s="123">
        <v>0</v>
      </c>
      <c r="K56" s="112">
        <v>2409</v>
      </c>
      <c r="L56" s="112">
        <v>5728</v>
      </c>
      <c r="M56" s="114" t="s">
        <v>110</v>
      </c>
      <c r="N56" s="116" t="s">
        <v>699</v>
      </c>
      <c r="O56" s="105"/>
      <c r="P56" s="106"/>
      <c r="Q56" s="108" t="s">
        <v>647</v>
      </c>
    </row>
    <row r="57" spans="1:17" ht="10.5" customHeight="1">
      <c r="A57" s="93"/>
      <c r="B57" s="94">
        <v>83</v>
      </c>
      <c r="C57" s="92"/>
      <c r="D57" s="82" t="s">
        <v>644</v>
      </c>
      <c r="E57" s="84">
        <v>9</v>
      </c>
      <c r="F57" s="89">
        <v>0</v>
      </c>
      <c r="G57" s="87">
        <v>875</v>
      </c>
      <c r="H57" s="89">
        <v>0</v>
      </c>
      <c r="I57" s="111">
        <v>639</v>
      </c>
      <c r="J57" s="117">
        <v>0</v>
      </c>
      <c r="K57" s="111">
        <v>2407</v>
      </c>
      <c r="L57" s="111">
        <v>5713</v>
      </c>
      <c r="M57" s="113" t="s">
        <v>110</v>
      </c>
      <c r="N57" s="115" t="s">
        <v>700</v>
      </c>
      <c r="O57" s="105"/>
      <c r="P57" s="109">
        <v>83</v>
      </c>
      <c r="Q57" s="108"/>
    </row>
    <row r="58" spans="1:17" ht="5.0999999999999996" customHeight="1" thickBot="1">
      <c r="A58" s="23"/>
      <c r="B58" s="25"/>
      <c r="C58" s="25"/>
      <c r="D58" s="13"/>
      <c r="E58" s="17"/>
      <c r="F58" s="9"/>
      <c r="G58" s="9"/>
      <c r="H58" s="15"/>
      <c r="I58" s="13"/>
      <c r="J58" s="11"/>
      <c r="K58" s="11"/>
      <c r="L58" s="11"/>
      <c r="M58" s="37"/>
      <c r="N58" s="39"/>
      <c r="O58" s="9"/>
      <c r="P58" s="9"/>
      <c r="Q58" s="7"/>
    </row>
    <row r="60" spans="1:17" ht="15" customHeight="1"/>
  </sheetData>
  <mergeCells count="12">
    <mergeCell ref="D3:D6"/>
    <mergeCell ref="P3:P6"/>
    <mergeCell ref="O3:O6"/>
    <mergeCell ref="N3:N6"/>
    <mergeCell ref="I1:Q1"/>
    <mergeCell ref="A1:H1"/>
    <mergeCell ref="Q3:Q6"/>
    <mergeCell ref="F3:H3"/>
    <mergeCell ref="I3:M3"/>
    <mergeCell ref="A3:A6"/>
    <mergeCell ref="B3:B6"/>
    <mergeCell ref="C3:C6"/>
  </mergeCells>
  <phoneticPr fontId="2" type="noConversion"/>
  <printOptions horizontalCentered="1"/>
  <pageMargins left="0.78740157480314965" right="0.78740157480314965" top="0.59055118110236227" bottom="1.1811023622047245" header="0.39370078740157483" footer="1.1811023622047245"/>
  <pageSetup paperSize="9" firstPageNumber="102" orientation="portrait" useFirstPageNumber="1" horizontalDpi="4294967292" r:id="rId1"/>
  <headerFooter alignWithMargins="0">
    <oddFooter>&amp;C&amp;10 - &amp;P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64"/>
  <sheetViews>
    <sheetView workbookViewId="0">
      <selection sqref="A1:H1"/>
    </sheetView>
  </sheetViews>
  <sheetFormatPr defaultRowHeight="16.5"/>
  <cols>
    <col min="1" max="1" width="2.625" style="3" customWidth="1"/>
    <col min="2" max="3" width="3.625" style="3" customWidth="1"/>
    <col min="4" max="4" width="30.625" style="3" customWidth="1"/>
    <col min="5" max="8" width="10.875" customWidth="1"/>
    <col min="9" max="9" width="9.125" style="3" customWidth="1"/>
    <col min="10" max="11" width="9.125" customWidth="1"/>
    <col min="12" max="12" width="10.625" customWidth="1"/>
    <col min="13" max="13" width="8.125" customWidth="1"/>
    <col min="14" max="14" width="27.625" customWidth="1"/>
    <col min="15" max="15" width="4.125" customWidth="1"/>
    <col min="16" max="16" width="3.625" customWidth="1"/>
    <col min="17" max="17" width="3.125" customWidth="1"/>
  </cols>
  <sheetData>
    <row r="1" spans="1:17" ht="35.1" customHeight="1">
      <c r="A1" s="48" t="s">
        <v>762</v>
      </c>
      <c r="B1" s="48"/>
      <c r="C1" s="48"/>
      <c r="D1" s="48"/>
      <c r="E1" s="48"/>
      <c r="F1" s="48"/>
      <c r="G1" s="48"/>
      <c r="H1" s="48"/>
      <c r="I1" s="47" t="s">
        <v>817</v>
      </c>
      <c r="J1" s="47"/>
      <c r="K1" s="47"/>
      <c r="L1" s="47"/>
      <c r="M1" s="47"/>
      <c r="N1" s="47"/>
      <c r="O1" s="47"/>
      <c r="P1" s="47"/>
      <c r="Q1" s="47"/>
    </row>
    <row r="2" spans="1:17" ht="15" customHeight="1" thickBot="1">
      <c r="A2" s="16"/>
      <c r="B2" s="16"/>
      <c r="C2" s="16"/>
      <c r="D2" s="16"/>
      <c r="E2" s="1"/>
      <c r="F2" s="18"/>
      <c r="G2" s="18"/>
      <c r="H2" s="19" t="s">
        <v>38</v>
      </c>
      <c r="J2" s="1"/>
      <c r="K2" s="1"/>
      <c r="L2" s="1"/>
      <c r="M2" s="1"/>
      <c r="N2" s="26"/>
      <c r="O2" s="26"/>
      <c r="P2" s="26"/>
      <c r="Q2" s="35" t="s">
        <v>27</v>
      </c>
    </row>
    <row r="3" spans="1:17" ht="12" customHeight="1">
      <c r="A3" s="58" t="s">
        <v>35</v>
      </c>
      <c r="B3" s="61" t="s">
        <v>36</v>
      </c>
      <c r="C3" s="61" t="s">
        <v>1</v>
      </c>
      <c r="D3" s="67" t="s">
        <v>9</v>
      </c>
      <c r="E3" s="21" t="s">
        <v>10</v>
      </c>
      <c r="F3" s="53" t="s">
        <v>11</v>
      </c>
      <c r="G3" s="54"/>
      <c r="H3" s="55"/>
      <c r="I3" s="78" t="s">
        <v>12</v>
      </c>
      <c r="J3" s="78"/>
      <c r="K3" s="78"/>
      <c r="L3" s="78"/>
      <c r="M3" s="79"/>
      <c r="N3" s="75" t="s">
        <v>13</v>
      </c>
      <c r="O3" s="74" t="s">
        <v>14</v>
      </c>
      <c r="P3" s="70" t="s">
        <v>15</v>
      </c>
      <c r="Q3" s="49" t="s">
        <v>16</v>
      </c>
    </row>
    <row r="4" spans="1:17" ht="5.0999999999999996" customHeight="1">
      <c r="A4" s="59"/>
      <c r="B4" s="62"/>
      <c r="C4" s="62"/>
      <c r="D4" s="68"/>
      <c r="E4" s="22"/>
      <c r="F4" s="27"/>
      <c r="G4" s="28"/>
      <c r="H4" s="32"/>
      <c r="I4" s="29"/>
      <c r="J4" s="30"/>
      <c r="K4" s="30"/>
      <c r="L4" s="31"/>
      <c r="M4" s="42"/>
      <c r="N4" s="76"/>
      <c r="O4" s="72"/>
      <c r="P4" s="71"/>
      <c r="Q4" s="50"/>
    </row>
    <row r="5" spans="1:17" ht="12" customHeight="1">
      <c r="A5" s="59"/>
      <c r="B5" s="62"/>
      <c r="C5" s="62"/>
      <c r="D5" s="68"/>
      <c r="E5" s="96" t="s">
        <v>106</v>
      </c>
      <c r="F5" s="97" t="s">
        <v>96</v>
      </c>
      <c r="G5" s="98" t="s">
        <v>97</v>
      </c>
      <c r="H5" s="99" t="s">
        <v>98</v>
      </c>
      <c r="I5" s="98" t="s">
        <v>168</v>
      </c>
      <c r="J5" s="99" t="s">
        <v>161</v>
      </c>
      <c r="K5" s="118" t="s">
        <v>106</v>
      </c>
      <c r="L5" s="118" t="s">
        <v>167</v>
      </c>
      <c r="M5" s="40" t="s">
        <v>40</v>
      </c>
      <c r="N5" s="76"/>
      <c r="O5" s="72"/>
      <c r="P5" s="72"/>
      <c r="Q5" s="51"/>
    </row>
    <row r="6" spans="1:17" ht="12" customHeight="1" thickBot="1">
      <c r="A6" s="60"/>
      <c r="B6" s="63"/>
      <c r="C6" s="63"/>
      <c r="D6" s="69"/>
      <c r="E6" s="100" t="s">
        <v>99</v>
      </c>
      <c r="F6" s="101" t="s">
        <v>100</v>
      </c>
      <c r="G6" s="101" t="s">
        <v>101</v>
      </c>
      <c r="H6" s="102" t="s">
        <v>102</v>
      </c>
      <c r="I6" s="101" t="s">
        <v>162</v>
      </c>
      <c r="J6" s="102" t="s">
        <v>163</v>
      </c>
      <c r="K6" s="102" t="s">
        <v>99</v>
      </c>
      <c r="L6" s="102" t="s">
        <v>164</v>
      </c>
      <c r="M6" s="41" t="s">
        <v>41</v>
      </c>
      <c r="N6" s="77"/>
      <c r="O6" s="73"/>
      <c r="P6" s="73"/>
      <c r="Q6" s="52"/>
    </row>
    <row r="7" spans="1:17" ht="5.0999999999999996" customHeight="1">
      <c r="A7" s="14"/>
      <c r="B7" s="24"/>
      <c r="C7" s="24"/>
      <c r="D7" s="20"/>
      <c r="E7" s="4"/>
      <c r="F7" s="5"/>
      <c r="G7" s="5"/>
      <c r="H7" s="6"/>
      <c r="I7" s="12"/>
      <c r="J7" s="10"/>
      <c r="K7" s="10"/>
      <c r="L7" s="10"/>
      <c r="M7" s="36"/>
      <c r="N7" s="38"/>
      <c r="O7" s="6"/>
      <c r="P7" s="6"/>
      <c r="Q7" s="8"/>
    </row>
    <row r="8" spans="1:17" ht="10.5" customHeight="1">
      <c r="A8" s="90"/>
      <c r="B8" s="91"/>
      <c r="C8" s="95">
        <v>831</v>
      </c>
      <c r="D8" s="82" t="s">
        <v>761</v>
      </c>
      <c r="E8" s="84">
        <v>5</v>
      </c>
      <c r="F8" s="89">
        <v>0</v>
      </c>
      <c r="G8" s="87">
        <v>593</v>
      </c>
      <c r="H8" s="89">
        <v>0</v>
      </c>
      <c r="I8" s="111">
        <v>509</v>
      </c>
      <c r="J8" s="117">
        <v>0</v>
      </c>
      <c r="K8" s="111">
        <v>394</v>
      </c>
      <c r="L8" s="111">
        <v>3011</v>
      </c>
      <c r="M8" s="113" t="s">
        <v>110</v>
      </c>
      <c r="N8" s="115" t="s">
        <v>763</v>
      </c>
      <c r="O8" s="110">
        <v>831</v>
      </c>
      <c r="P8" s="106"/>
      <c r="Q8" s="107"/>
    </row>
    <row r="9" spans="1:17" ht="10.5" customHeight="1">
      <c r="A9" s="90"/>
      <c r="B9" s="91"/>
      <c r="C9" s="95">
        <v>832</v>
      </c>
      <c r="D9" s="82" t="s">
        <v>702</v>
      </c>
      <c r="E9" s="84">
        <v>4</v>
      </c>
      <c r="F9" s="89">
        <v>0</v>
      </c>
      <c r="G9" s="87">
        <v>281</v>
      </c>
      <c r="H9" s="89">
        <v>0</v>
      </c>
      <c r="I9" s="111">
        <v>130</v>
      </c>
      <c r="J9" s="117">
        <v>0</v>
      </c>
      <c r="K9" s="111">
        <v>2013</v>
      </c>
      <c r="L9" s="111">
        <v>2702</v>
      </c>
      <c r="M9" s="113" t="s">
        <v>110</v>
      </c>
      <c r="N9" s="115" t="s">
        <v>764</v>
      </c>
      <c r="O9" s="110">
        <v>832</v>
      </c>
      <c r="P9" s="106"/>
      <c r="Q9" s="107"/>
    </row>
    <row r="10" spans="1:17" ht="10.5" customHeight="1">
      <c r="A10" s="90"/>
      <c r="B10" s="91"/>
      <c r="C10" s="95">
        <v>833</v>
      </c>
      <c r="D10" s="82" t="s">
        <v>703</v>
      </c>
      <c r="E10" s="121">
        <v>0</v>
      </c>
      <c r="F10" s="89">
        <v>0</v>
      </c>
      <c r="G10" s="89">
        <v>0</v>
      </c>
      <c r="H10" s="89">
        <v>0</v>
      </c>
      <c r="I10" s="117">
        <v>0</v>
      </c>
      <c r="J10" s="117">
        <v>0</v>
      </c>
      <c r="K10" s="117">
        <v>0</v>
      </c>
      <c r="L10" s="117">
        <v>0</v>
      </c>
      <c r="M10" s="113" t="s">
        <v>110</v>
      </c>
      <c r="N10" s="115" t="s">
        <v>765</v>
      </c>
      <c r="O10" s="110">
        <v>833</v>
      </c>
      <c r="P10" s="106"/>
      <c r="Q10" s="107"/>
    </row>
    <row r="11" spans="1:17" ht="10.5" customHeight="1">
      <c r="A11" s="90"/>
      <c r="B11" s="94">
        <v>84</v>
      </c>
      <c r="C11" s="95"/>
      <c r="D11" s="82" t="s">
        <v>704</v>
      </c>
      <c r="E11" s="84">
        <v>3</v>
      </c>
      <c r="F11" s="89">
        <v>0</v>
      </c>
      <c r="G11" s="87">
        <v>3</v>
      </c>
      <c r="H11" s="89">
        <v>0</v>
      </c>
      <c r="I11" s="111">
        <v>1</v>
      </c>
      <c r="J11" s="117">
        <v>0</v>
      </c>
      <c r="K11" s="111">
        <v>2</v>
      </c>
      <c r="L11" s="111">
        <v>14</v>
      </c>
      <c r="M11" s="113" t="s">
        <v>110</v>
      </c>
      <c r="N11" s="115" t="s">
        <v>766</v>
      </c>
      <c r="O11" s="110"/>
      <c r="P11" s="109">
        <v>84</v>
      </c>
      <c r="Q11" s="107"/>
    </row>
    <row r="12" spans="1:17" ht="10.5" customHeight="1">
      <c r="A12" s="90"/>
      <c r="B12" s="91"/>
      <c r="C12" s="95">
        <v>840</v>
      </c>
      <c r="D12" s="82" t="s">
        <v>705</v>
      </c>
      <c r="E12" s="84">
        <v>3</v>
      </c>
      <c r="F12" s="89">
        <v>0</v>
      </c>
      <c r="G12" s="87">
        <v>3</v>
      </c>
      <c r="H12" s="89">
        <v>0</v>
      </c>
      <c r="I12" s="111">
        <v>1</v>
      </c>
      <c r="J12" s="117">
        <v>0</v>
      </c>
      <c r="K12" s="111">
        <v>2</v>
      </c>
      <c r="L12" s="111">
        <v>14</v>
      </c>
      <c r="M12" s="113" t="s">
        <v>110</v>
      </c>
      <c r="N12" s="115" t="s">
        <v>767</v>
      </c>
      <c r="O12" s="110">
        <v>840</v>
      </c>
      <c r="P12" s="106"/>
      <c r="Q12" s="107"/>
    </row>
    <row r="13" spans="1:17" ht="14.1" customHeight="1">
      <c r="A13" s="93" t="s">
        <v>756</v>
      </c>
      <c r="B13" s="91"/>
      <c r="C13" s="95"/>
      <c r="D13" s="83" t="s">
        <v>706</v>
      </c>
      <c r="E13" s="85">
        <v>6774</v>
      </c>
      <c r="F13" s="88">
        <v>125</v>
      </c>
      <c r="G13" s="88">
        <v>5692</v>
      </c>
      <c r="H13" s="88">
        <v>130</v>
      </c>
      <c r="I13" s="112">
        <v>5599</v>
      </c>
      <c r="J13" s="112">
        <v>157</v>
      </c>
      <c r="K13" s="112">
        <v>7087</v>
      </c>
      <c r="L13" s="112">
        <v>34488</v>
      </c>
      <c r="M13" s="114" t="s">
        <v>110</v>
      </c>
      <c r="N13" s="116" t="s">
        <v>768</v>
      </c>
      <c r="O13" s="110"/>
      <c r="P13" s="106"/>
      <c r="Q13" s="108" t="s">
        <v>756</v>
      </c>
    </row>
    <row r="14" spans="1:17" ht="10.5" customHeight="1">
      <c r="A14" s="90"/>
      <c r="B14" s="94">
        <v>85</v>
      </c>
      <c r="C14" s="95"/>
      <c r="D14" s="82" t="s">
        <v>707</v>
      </c>
      <c r="E14" s="84">
        <v>6774</v>
      </c>
      <c r="F14" s="87">
        <v>125</v>
      </c>
      <c r="G14" s="87">
        <v>5692</v>
      </c>
      <c r="H14" s="87">
        <v>130</v>
      </c>
      <c r="I14" s="111">
        <v>5599</v>
      </c>
      <c r="J14" s="111">
        <v>157</v>
      </c>
      <c r="K14" s="111">
        <v>7087</v>
      </c>
      <c r="L14" s="111">
        <v>34488</v>
      </c>
      <c r="M14" s="113" t="s">
        <v>110</v>
      </c>
      <c r="N14" s="115" t="s">
        <v>769</v>
      </c>
      <c r="O14" s="110"/>
      <c r="P14" s="109">
        <v>85</v>
      </c>
      <c r="Q14" s="107"/>
    </row>
    <row r="15" spans="1:17" ht="10.5" customHeight="1">
      <c r="A15" s="90"/>
      <c r="B15" s="91"/>
      <c r="C15" s="95">
        <v>851</v>
      </c>
      <c r="D15" s="82" t="s">
        <v>708</v>
      </c>
      <c r="E15" s="84">
        <v>26</v>
      </c>
      <c r="F15" s="89">
        <v>0</v>
      </c>
      <c r="G15" s="87">
        <v>124</v>
      </c>
      <c r="H15" s="89">
        <v>0</v>
      </c>
      <c r="I15" s="111">
        <v>138</v>
      </c>
      <c r="J15" s="117">
        <v>0</v>
      </c>
      <c r="K15" s="111">
        <v>131</v>
      </c>
      <c r="L15" s="111">
        <v>702</v>
      </c>
      <c r="M15" s="113" t="s">
        <v>110</v>
      </c>
      <c r="N15" s="115" t="s">
        <v>770</v>
      </c>
      <c r="O15" s="110">
        <v>851</v>
      </c>
      <c r="P15" s="106"/>
      <c r="Q15" s="107"/>
    </row>
    <row r="16" spans="1:17" ht="10.5" customHeight="1">
      <c r="A16" s="90"/>
      <c r="B16" s="91"/>
      <c r="C16" s="95">
        <v>852</v>
      </c>
      <c r="D16" s="82" t="s">
        <v>709</v>
      </c>
      <c r="E16" s="84">
        <v>1</v>
      </c>
      <c r="F16" s="124" t="s">
        <v>710</v>
      </c>
      <c r="G16" s="86" t="s">
        <v>710</v>
      </c>
      <c r="H16" s="124" t="s">
        <v>710</v>
      </c>
      <c r="I16" s="127" t="s">
        <v>710</v>
      </c>
      <c r="J16" s="127" t="s">
        <v>710</v>
      </c>
      <c r="K16" s="127" t="s">
        <v>710</v>
      </c>
      <c r="L16" s="127" t="s">
        <v>710</v>
      </c>
      <c r="M16" s="113" t="s">
        <v>110</v>
      </c>
      <c r="N16" s="115" t="s">
        <v>771</v>
      </c>
      <c r="O16" s="110">
        <v>852</v>
      </c>
      <c r="P16" s="106"/>
      <c r="Q16" s="107"/>
    </row>
    <row r="17" spans="1:17" ht="10.5" customHeight="1">
      <c r="A17" s="90"/>
      <c r="B17" s="91"/>
      <c r="C17" s="95">
        <v>853</v>
      </c>
      <c r="D17" s="82" t="s">
        <v>711</v>
      </c>
      <c r="E17" s="84">
        <v>1</v>
      </c>
      <c r="F17" s="124" t="s">
        <v>710</v>
      </c>
      <c r="G17" s="86" t="s">
        <v>710</v>
      </c>
      <c r="H17" s="124" t="s">
        <v>710</v>
      </c>
      <c r="I17" s="127" t="s">
        <v>710</v>
      </c>
      <c r="J17" s="127" t="s">
        <v>710</v>
      </c>
      <c r="K17" s="127" t="s">
        <v>710</v>
      </c>
      <c r="L17" s="127" t="s">
        <v>710</v>
      </c>
      <c r="M17" s="113" t="s">
        <v>710</v>
      </c>
      <c r="N17" s="115" t="s">
        <v>772</v>
      </c>
      <c r="O17" s="110">
        <v>853</v>
      </c>
      <c r="P17" s="106"/>
      <c r="Q17" s="107"/>
    </row>
    <row r="18" spans="1:17" ht="10.5" customHeight="1">
      <c r="A18" s="90"/>
      <c r="B18" s="91"/>
      <c r="C18" s="95">
        <v>854</v>
      </c>
      <c r="D18" s="82" t="s">
        <v>712</v>
      </c>
      <c r="E18" s="84">
        <v>1</v>
      </c>
      <c r="F18" s="124" t="s">
        <v>710</v>
      </c>
      <c r="G18" s="86" t="s">
        <v>710</v>
      </c>
      <c r="H18" s="124" t="s">
        <v>710</v>
      </c>
      <c r="I18" s="127" t="s">
        <v>710</v>
      </c>
      <c r="J18" s="127" t="s">
        <v>710</v>
      </c>
      <c r="K18" s="127" t="s">
        <v>710</v>
      </c>
      <c r="L18" s="127" t="s">
        <v>710</v>
      </c>
      <c r="M18" s="113" t="s">
        <v>110</v>
      </c>
      <c r="N18" s="115" t="s">
        <v>773</v>
      </c>
      <c r="O18" s="110">
        <v>854</v>
      </c>
      <c r="P18" s="106"/>
      <c r="Q18" s="107"/>
    </row>
    <row r="19" spans="1:17" ht="10.5" customHeight="1">
      <c r="A19" s="90"/>
      <c r="B19" s="91"/>
      <c r="C19" s="95">
        <v>855</v>
      </c>
      <c r="D19" s="82" t="s">
        <v>713</v>
      </c>
      <c r="E19" s="84">
        <v>4</v>
      </c>
      <c r="F19" s="89">
        <v>0</v>
      </c>
      <c r="G19" s="87">
        <v>87</v>
      </c>
      <c r="H19" s="89">
        <v>0</v>
      </c>
      <c r="I19" s="111">
        <v>141</v>
      </c>
      <c r="J19" s="117">
        <v>0</v>
      </c>
      <c r="K19" s="111">
        <v>101</v>
      </c>
      <c r="L19" s="111">
        <v>634</v>
      </c>
      <c r="M19" s="113" t="s">
        <v>110</v>
      </c>
      <c r="N19" s="115" t="s">
        <v>774</v>
      </c>
      <c r="O19" s="110">
        <v>855</v>
      </c>
      <c r="P19" s="106"/>
      <c r="Q19" s="107"/>
    </row>
    <row r="20" spans="1:17" ht="10.5" customHeight="1">
      <c r="A20" s="90"/>
      <c r="B20" s="91"/>
      <c r="C20" s="95">
        <v>856</v>
      </c>
      <c r="D20" s="82" t="s">
        <v>714</v>
      </c>
      <c r="E20" s="121">
        <v>0</v>
      </c>
      <c r="F20" s="89">
        <v>0</v>
      </c>
      <c r="G20" s="89">
        <v>0</v>
      </c>
      <c r="H20" s="89">
        <v>0</v>
      </c>
      <c r="I20" s="117">
        <v>0</v>
      </c>
      <c r="J20" s="117">
        <v>0</v>
      </c>
      <c r="K20" s="117">
        <v>0</v>
      </c>
      <c r="L20" s="117">
        <v>0</v>
      </c>
      <c r="M20" s="113" t="s">
        <v>110</v>
      </c>
      <c r="N20" s="115" t="s">
        <v>775</v>
      </c>
      <c r="O20" s="110">
        <v>856</v>
      </c>
      <c r="P20" s="106"/>
      <c r="Q20" s="107"/>
    </row>
    <row r="21" spans="1:17" ht="10.5" customHeight="1">
      <c r="A21" s="90"/>
      <c r="B21" s="91"/>
      <c r="C21" s="95">
        <v>858</v>
      </c>
      <c r="D21" s="82" t="s">
        <v>715</v>
      </c>
      <c r="E21" s="84">
        <v>669</v>
      </c>
      <c r="F21" s="87">
        <v>2</v>
      </c>
      <c r="G21" s="87">
        <v>538</v>
      </c>
      <c r="H21" s="87">
        <v>3</v>
      </c>
      <c r="I21" s="111">
        <v>621</v>
      </c>
      <c r="J21" s="111">
        <v>3</v>
      </c>
      <c r="K21" s="111">
        <v>755</v>
      </c>
      <c r="L21" s="111">
        <v>3389</v>
      </c>
      <c r="M21" s="113" t="s">
        <v>110</v>
      </c>
      <c r="N21" s="115" t="s">
        <v>776</v>
      </c>
      <c r="O21" s="110">
        <v>858</v>
      </c>
      <c r="P21" s="106"/>
      <c r="Q21" s="107"/>
    </row>
    <row r="22" spans="1:17" ht="10.5" customHeight="1">
      <c r="A22" s="90"/>
      <c r="B22" s="91"/>
      <c r="C22" s="95">
        <v>859</v>
      </c>
      <c r="D22" s="82" t="s">
        <v>716</v>
      </c>
      <c r="E22" s="84">
        <v>6072</v>
      </c>
      <c r="F22" s="87">
        <v>123</v>
      </c>
      <c r="G22" s="87">
        <v>4941</v>
      </c>
      <c r="H22" s="87">
        <v>127</v>
      </c>
      <c r="I22" s="111">
        <v>4698</v>
      </c>
      <c r="J22" s="111">
        <v>155</v>
      </c>
      <c r="K22" s="111">
        <v>6098</v>
      </c>
      <c r="L22" s="111">
        <v>29756</v>
      </c>
      <c r="M22" s="113" t="s">
        <v>110</v>
      </c>
      <c r="N22" s="115" t="s">
        <v>777</v>
      </c>
      <c r="O22" s="110">
        <v>859</v>
      </c>
      <c r="P22" s="106"/>
      <c r="Q22" s="107"/>
    </row>
    <row r="23" spans="1:17" ht="14.1" customHeight="1">
      <c r="A23" s="93" t="s">
        <v>757</v>
      </c>
      <c r="B23" s="91"/>
      <c r="C23" s="95"/>
      <c r="D23" s="83" t="s">
        <v>717</v>
      </c>
      <c r="E23" s="85">
        <v>2183</v>
      </c>
      <c r="F23" s="88">
        <v>35</v>
      </c>
      <c r="G23" s="88">
        <v>7655</v>
      </c>
      <c r="H23" s="88">
        <v>42</v>
      </c>
      <c r="I23" s="112">
        <v>7581</v>
      </c>
      <c r="J23" s="112">
        <v>66</v>
      </c>
      <c r="K23" s="112">
        <v>8510</v>
      </c>
      <c r="L23" s="112">
        <v>44794</v>
      </c>
      <c r="M23" s="114" t="s">
        <v>110</v>
      </c>
      <c r="N23" s="116" t="s">
        <v>778</v>
      </c>
      <c r="O23" s="110"/>
      <c r="P23" s="106"/>
      <c r="Q23" s="108" t="s">
        <v>757</v>
      </c>
    </row>
    <row r="24" spans="1:17" ht="10.5" customHeight="1">
      <c r="A24" s="90"/>
      <c r="B24" s="94">
        <v>86</v>
      </c>
      <c r="C24" s="95"/>
      <c r="D24" s="82" t="s">
        <v>718</v>
      </c>
      <c r="E24" s="84">
        <v>1219</v>
      </c>
      <c r="F24" s="87">
        <v>33</v>
      </c>
      <c r="G24" s="87">
        <v>6630</v>
      </c>
      <c r="H24" s="87">
        <v>40</v>
      </c>
      <c r="I24" s="111">
        <v>6484</v>
      </c>
      <c r="J24" s="111">
        <v>57</v>
      </c>
      <c r="K24" s="111">
        <v>7274</v>
      </c>
      <c r="L24" s="111">
        <v>38892</v>
      </c>
      <c r="M24" s="113" t="s">
        <v>110</v>
      </c>
      <c r="N24" s="115" t="s">
        <v>779</v>
      </c>
      <c r="O24" s="110"/>
      <c r="P24" s="109">
        <v>86</v>
      </c>
      <c r="Q24" s="107"/>
    </row>
    <row r="25" spans="1:17" ht="10.5" customHeight="1">
      <c r="A25" s="90"/>
      <c r="B25" s="91"/>
      <c r="C25" s="95">
        <v>861</v>
      </c>
      <c r="D25" s="82" t="s">
        <v>719</v>
      </c>
      <c r="E25" s="84">
        <v>17</v>
      </c>
      <c r="F25" s="87">
        <v>0</v>
      </c>
      <c r="G25" s="87">
        <v>4258</v>
      </c>
      <c r="H25" s="87">
        <v>0</v>
      </c>
      <c r="I25" s="111">
        <v>4018</v>
      </c>
      <c r="J25" s="111">
        <v>0</v>
      </c>
      <c r="K25" s="111">
        <v>4258</v>
      </c>
      <c r="L25" s="111">
        <v>24449</v>
      </c>
      <c r="M25" s="113" t="s">
        <v>110</v>
      </c>
      <c r="N25" s="115" t="s">
        <v>780</v>
      </c>
      <c r="O25" s="110">
        <v>861</v>
      </c>
      <c r="P25" s="106"/>
      <c r="Q25" s="107"/>
    </row>
    <row r="26" spans="1:17" ht="10.5" customHeight="1">
      <c r="A26" s="90"/>
      <c r="B26" s="91"/>
      <c r="C26" s="95">
        <v>862</v>
      </c>
      <c r="D26" s="82" t="s">
        <v>720</v>
      </c>
      <c r="E26" s="84">
        <v>11</v>
      </c>
      <c r="F26" s="87">
        <v>0</v>
      </c>
      <c r="G26" s="87">
        <v>8</v>
      </c>
      <c r="H26" s="87">
        <v>0</v>
      </c>
      <c r="I26" s="111">
        <v>8</v>
      </c>
      <c r="J26" s="111">
        <v>0</v>
      </c>
      <c r="K26" s="111">
        <v>1</v>
      </c>
      <c r="L26" s="111">
        <v>40</v>
      </c>
      <c r="M26" s="113" t="s">
        <v>110</v>
      </c>
      <c r="N26" s="115" t="s">
        <v>781</v>
      </c>
      <c r="O26" s="110">
        <v>862</v>
      </c>
      <c r="P26" s="106"/>
      <c r="Q26" s="107"/>
    </row>
    <row r="27" spans="1:17" ht="10.5" customHeight="1">
      <c r="A27" s="90"/>
      <c r="B27" s="91"/>
      <c r="C27" s="95">
        <v>869</v>
      </c>
      <c r="D27" s="82" t="s">
        <v>721</v>
      </c>
      <c r="E27" s="84">
        <v>1191</v>
      </c>
      <c r="F27" s="87">
        <v>32</v>
      </c>
      <c r="G27" s="87">
        <v>2364</v>
      </c>
      <c r="H27" s="87">
        <v>40</v>
      </c>
      <c r="I27" s="111">
        <v>2457</v>
      </c>
      <c r="J27" s="111">
        <v>56</v>
      </c>
      <c r="K27" s="111">
        <v>3014</v>
      </c>
      <c r="L27" s="111">
        <v>14403</v>
      </c>
      <c r="M27" s="113" t="s">
        <v>110</v>
      </c>
      <c r="N27" s="115" t="s">
        <v>782</v>
      </c>
      <c r="O27" s="110">
        <v>869</v>
      </c>
      <c r="P27" s="106"/>
      <c r="Q27" s="107"/>
    </row>
    <row r="28" spans="1:17" ht="10.5" customHeight="1">
      <c r="A28" s="90"/>
      <c r="B28" s="94">
        <v>87</v>
      </c>
      <c r="C28" s="95"/>
      <c r="D28" s="82" t="s">
        <v>722</v>
      </c>
      <c r="E28" s="84">
        <v>317</v>
      </c>
      <c r="F28" s="87">
        <v>0</v>
      </c>
      <c r="G28" s="87">
        <v>517</v>
      </c>
      <c r="H28" s="87">
        <v>0</v>
      </c>
      <c r="I28" s="111">
        <v>515</v>
      </c>
      <c r="J28" s="111">
        <v>0</v>
      </c>
      <c r="K28" s="111">
        <v>567</v>
      </c>
      <c r="L28" s="111">
        <v>2989</v>
      </c>
      <c r="M28" s="113" t="s">
        <v>110</v>
      </c>
      <c r="N28" s="115" t="s">
        <v>783</v>
      </c>
      <c r="O28" s="110"/>
      <c r="P28" s="109">
        <v>87</v>
      </c>
      <c r="Q28" s="107"/>
    </row>
    <row r="29" spans="1:17" ht="10.5" customHeight="1">
      <c r="A29" s="90"/>
      <c r="B29" s="91"/>
      <c r="C29" s="95">
        <v>871</v>
      </c>
      <c r="D29" s="82" t="s">
        <v>723</v>
      </c>
      <c r="E29" s="84">
        <v>118</v>
      </c>
      <c r="F29" s="87">
        <v>0</v>
      </c>
      <c r="G29" s="87">
        <v>305</v>
      </c>
      <c r="H29" s="87">
        <v>0</v>
      </c>
      <c r="I29" s="111">
        <v>297</v>
      </c>
      <c r="J29" s="117">
        <v>0</v>
      </c>
      <c r="K29" s="111">
        <v>324</v>
      </c>
      <c r="L29" s="111">
        <v>1766</v>
      </c>
      <c r="M29" s="113" t="s">
        <v>110</v>
      </c>
      <c r="N29" s="115" t="s">
        <v>784</v>
      </c>
      <c r="O29" s="110">
        <v>871</v>
      </c>
      <c r="P29" s="106"/>
      <c r="Q29" s="107"/>
    </row>
    <row r="30" spans="1:17" ht="10.5" customHeight="1">
      <c r="A30" s="90"/>
      <c r="B30" s="91"/>
      <c r="C30" s="95">
        <v>879</v>
      </c>
      <c r="D30" s="82" t="s">
        <v>724</v>
      </c>
      <c r="E30" s="84">
        <v>199</v>
      </c>
      <c r="F30" s="87">
        <v>0</v>
      </c>
      <c r="G30" s="87">
        <v>212</v>
      </c>
      <c r="H30" s="87">
        <v>0</v>
      </c>
      <c r="I30" s="111">
        <v>218</v>
      </c>
      <c r="J30" s="111">
        <v>0</v>
      </c>
      <c r="K30" s="111">
        <v>243</v>
      </c>
      <c r="L30" s="111">
        <v>1224</v>
      </c>
      <c r="M30" s="113" t="s">
        <v>110</v>
      </c>
      <c r="N30" s="115" t="s">
        <v>785</v>
      </c>
      <c r="O30" s="110">
        <v>879</v>
      </c>
      <c r="P30" s="106"/>
      <c r="Q30" s="107"/>
    </row>
    <row r="31" spans="1:17" ht="10.5" customHeight="1">
      <c r="A31" s="90"/>
      <c r="B31" s="94">
        <v>88</v>
      </c>
      <c r="C31" s="95"/>
      <c r="D31" s="82" t="s">
        <v>725</v>
      </c>
      <c r="E31" s="84">
        <v>647</v>
      </c>
      <c r="F31" s="87">
        <v>2</v>
      </c>
      <c r="G31" s="87">
        <v>507</v>
      </c>
      <c r="H31" s="87">
        <v>2</v>
      </c>
      <c r="I31" s="111">
        <v>582</v>
      </c>
      <c r="J31" s="111">
        <v>9</v>
      </c>
      <c r="K31" s="111">
        <v>669</v>
      </c>
      <c r="L31" s="111">
        <v>2912</v>
      </c>
      <c r="M31" s="113" t="s">
        <v>110</v>
      </c>
      <c r="N31" s="115" t="s">
        <v>786</v>
      </c>
      <c r="O31" s="110"/>
      <c r="P31" s="109">
        <v>88</v>
      </c>
      <c r="Q31" s="107"/>
    </row>
    <row r="32" spans="1:17" ht="10.5" customHeight="1">
      <c r="A32" s="90"/>
      <c r="B32" s="91"/>
      <c r="C32" s="95">
        <v>881</v>
      </c>
      <c r="D32" s="82" t="s">
        <v>726</v>
      </c>
      <c r="E32" s="84">
        <v>354</v>
      </c>
      <c r="F32" s="87">
        <v>0</v>
      </c>
      <c r="G32" s="87">
        <v>185</v>
      </c>
      <c r="H32" s="87">
        <v>0</v>
      </c>
      <c r="I32" s="111">
        <v>205</v>
      </c>
      <c r="J32" s="111">
        <v>0</v>
      </c>
      <c r="K32" s="111">
        <v>286</v>
      </c>
      <c r="L32" s="111">
        <v>911</v>
      </c>
      <c r="M32" s="113" t="s">
        <v>110</v>
      </c>
      <c r="N32" s="115" t="s">
        <v>787</v>
      </c>
      <c r="O32" s="110">
        <v>881</v>
      </c>
      <c r="P32" s="106"/>
      <c r="Q32" s="107"/>
    </row>
    <row r="33" spans="1:17" ht="10.5" customHeight="1">
      <c r="A33" s="90"/>
      <c r="B33" s="91"/>
      <c r="C33" s="95">
        <v>889</v>
      </c>
      <c r="D33" s="82" t="s">
        <v>727</v>
      </c>
      <c r="E33" s="84">
        <v>293</v>
      </c>
      <c r="F33" s="87">
        <v>2</v>
      </c>
      <c r="G33" s="87">
        <v>322</v>
      </c>
      <c r="H33" s="87">
        <v>2</v>
      </c>
      <c r="I33" s="111">
        <v>377</v>
      </c>
      <c r="J33" s="111">
        <v>9</v>
      </c>
      <c r="K33" s="111">
        <v>383</v>
      </c>
      <c r="L33" s="111">
        <v>2001</v>
      </c>
      <c r="M33" s="113" t="s">
        <v>110</v>
      </c>
      <c r="N33" s="115" t="s">
        <v>788</v>
      </c>
      <c r="O33" s="110">
        <v>889</v>
      </c>
      <c r="P33" s="106"/>
      <c r="Q33" s="107"/>
    </row>
    <row r="34" spans="1:17" ht="14.1" customHeight="1">
      <c r="A34" s="93" t="s">
        <v>758</v>
      </c>
      <c r="B34" s="91"/>
      <c r="C34" s="95"/>
      <c r="D34" s="83" t="s">
        <v>728</v>
      </c>
      <c r="E34" s="85">
        <v>43896</v>
      </c>
      <c r="F34" s="88">
        <v>2231</v>
      </c>
      <c r="G34" s="88">
        <v>26083</v>
      </c>
      <c r="H34" s="88">
        <v>1847</v>
      </c>
      <c r="I34" s="112">
        <v>22022</v>
      </c>
      <c r="J34" s="112">
        <v>1891</v>
      </c>
      <c r="K34" s="112">
        <v>27006</v>
      </c>
      <c r="L34" s="112">
        <v>150160</v>
      </c>
      <c r="M34" s="114" t="s">
        <v>110</v>
      </c>
      <c r="N34" s="116" t="s">
        <v>789</v>
      </c>
      <c r="O34" s="110"/>
      <c r="P34" s="106"/>
      <c r="Q34" s="108" t="s">
        <v>758</v>
      </c>
    </row>
    <row r="35" spans="1:17" ht="10.5" customHeight="1">
      <c r="A35" s="90"/>
      <c r="B35" s="94">
        <v>90</v>
      </c>
      <c r="C35" s="95"/>
      <c r="D35" s="82" t="s">
        <v>729</v>
      </c>
      <c r="E35" s="84">
        <v>6805</v>
      </c>
      <c r="F35" s="87">
        <v>93</v>
      </c>
      <c r="G35" s="87">
        <v>6134</v>
      </c>
      <c r="H35" s="87">
        <v>96</v>
      </c>
      <c r="I35" s="111">
        <v>6683</v>
      </c>
      <c r="J35" s="111">
        <v>128</v>
      </c>
      <c r="K35" s="111">
        <v>9057</v>
      </c>
      <c r="L35" s="111">
        <v>39595</v>
      </c>
      <c r="M35" s="113" t="s">
        <v>110</v>
      </c>
      <c r="N35" s="115" t="s">
        <v>790</v>
      </c>
      <c r="O35" s="110"/>
      <c r="P35" s="109">
        <v>90</v>
      </c>
      <c r="Q35" s="107"/>
    </row>
    <row r="36" spans="1:17" ht="10.5" customHeight="1">
      <c r="A36" s="90"/>
      <c r="B36" s="91"/>
      <c r="C36" s="95">
        <v>901</v>
      </c>
      <c r="D36" s="82" t="s">
        <v>730</v>
      </c>
      <c r="E36" s="84">
        <v>523</v>
      </c>
      <c r="F36" s="87">
        <v>9</v>
      </c>
      <c r="G36" s="87">
        <v>149</v>
      </c>
      <c r="H36" s="87">
        <v>9</v>
      </c>
      <c r="I36" s="111">
        <v>147</v>
      </c>
      <c r="J36" s="111">
        <v>9</v>
      </c>
      <c r="K36" s="111">
        <v>328</v>
      </c>
      <c r="L36" s="111">
        <v>1067</v>
      </c>
      <c r="M36" s="113" t="s">
        <v>110</v>
      </c>
      <c r="N36" s="115" t="s">
        <v>791</v>
      </c>
      <c r="O36" s="110">
        <v>901</v>
      </c>
      <c r="P36" s="106"/>
      <c r="Q36" s="107"/>
    </row>
    <row r="37" spans="1:17" ht="10.5" customHeight="1">
      <c r="A37" s="90"/>
      <c r="B37" s="91"/>
      <c r="C37" s="95">
        <v>902</v>
      </c>
      <c r="D37" s="82" t="s">
        <v>731</v>
      </c>
      <c r="E37" s="84">
        <v>2056</v>
      </c>
      <c r="F37" s="87">
        <v>40</v>
      </c>
      <c r="G37" s="87">
        <v>1066</v>
      </c>
      <c r="H37" s="87">
        <v>38</v>
      </c>
      <c r="I37" s="111">
        <v>1264</v>
      </c>
      <c r="J37" s="111">
        <v>47</v>
      </c>
      <c r="K37" s="111">
        <v>1496</v>
      </c>
      <c r="L37" s="111">
        <v>7864</v>
      </c>
      <c r="M37" s="113" t="s">
        <v>110</v>
      </c>
      <c r="N37" s="115" t="s">
        <v>792</v>
      </c>
      <c r="O37" s="110">
        <v>902</v>
      </c>
      <c r="P37" s="106"/>
      <c r="Q37" s="107"/>
    </row>
    <row r="38" spans="1:17" ht="10.5" customHeight="1">
      <c r="A38" s="90"/>
      <c r="B38" s="91"/>
      <c r="C38" s="95">
        <v>903</v>
      </c>
      <c r="D38" s="82" t="s">
        <v>732</v>
      </c>
      <c r="E38" s="84">
        <v>4226</v>
      </c>
      <c r="F38" s="87">
        <v>44</v>
      </c>
      <c r="G38" s="87">
        <v>4919</v>
      </c>
      <c r="H38" s="87">
        <v>49</v>
      </c>
      <c r="I38" s="111">
        <v>5272</v>
      </c>
      <c r="J38" s="111">
        <v>72</v>
      </c>
      <c r="K38" s="111">
        <v>7232</v>
      </c>
      <c r="L38" s="111">
        <v>30664</v>
      </c>
      <c r="M38" s="113" t="s">
        <v>110</v>
      </c>
      <c r="N38" s="115" t="s">
        <v>793</v>
      </c>
      <c r="O38" s="110">
        <v>903</v>
      </c>
      <c r="P38" s="106"/>
      <c r="Q38" s="107"/>
    </row>
    <row r="39" spans="1:17" ht="10.5" customHeight="1">
      <c r="A39" s="90"/>
      <c r="B39" s="94">
        <v>91</v>
      </c>
      <c r="C39" s="95"/>
      <c r="D39" s="82" t="s">
        <v>733</v>
      </c>
      <c r="E39" s="84">
        <v>53</v>
      </c>
      <c r="F39" s="87">
        <v>0</v>
      </c>
      <c r="G39" s="87">
        <v>84</v>
      </c>
      <c r="H39" s="87">
        <v>0</v>
      </c>
      <c r="I39" s="111">
        <v>49</v>
      </c>
      <c r="J39" s="111">
        <v>0</v>
      </c>
      <c r="K39" s="111">
        <v>102</v>
      </c>
      <c r="L39" s="111">
        <v>550</v>
      </c>
      <c r="M39" s="113" t="s">
        <v>110</v>
      </c>
      <c r="N39" s="115" t="s">
        <v>794</v>
      </c>
      <c r="O39" s="110"/>
      <c r="P39" s="109">
        <v>91</v>
      </c>
      <c r="Q39" s="107"/>
    </row>
    <row r="40" spans="1:17" ht="10.5" customHeight="1">
      <c r="A40" s="90"/>
      <c r="B40" s="91"/>
      <c r="C40" s="95">
        <v>910</v>
      </c>
      <c r="D40" s="82" t="s">
        <v>734</v>
      </c>
      <c r="E40" s="84">
        <v>53</v>
      </c>
      <c r="F40" s="87">
        <v>0</v>
      </c>
      <c r="G40" s="87">
        <v>84</v>
      </c>
      <c r="H40" s="87">
        <v>0</v>
      </c>
      <c r="I40" s="111">
        <v>49</v>
      </c>
      <c r="J40" s="111">
        <v>0</v>
      </c>
      <c r="K40" s="111">
        <v>102</v>
      </c>
      <c r="L40" s="111">
        <v>550</v>
      </c>
      <c r="M40" s="113" t="s">
        <v>110</v>
      </c>
      <c r="N40" s="115" t="s">
        <v>795</v>
      </c>
      <c r="O40" s="110">
        <v>910</v>
      </c>
      <c r="P40" s="106"/>
      <c r="Q40" s="107"/>
    </row>
    <row r="41" spans="1:17" ht="10.5" customHeight="1">
      <c r="A41" s="90"/>
      <c r="B41" s="94">
        <v>92</v>
      </c>
      <c r="C41" s="95"/>
      <c r="D41" s="82" t="s">
        <v>735</v>
      </c>
      <c r="E41" s="84">
        <v>14261</v>
      </c>
      <c r="F41" s="87">
        <v>7</v>
      </c>
      <c r="G41" s="87">
        <v>2953</v>
      </c>
      <c r="H41" s="87">
        <v>11</v>
      </c>
      <c r="I41" s="111">
        <v>1169</v>
      </c>
      <c r="J41" s="111">
        <v>11</v>
      </c>
      <c r="K41" s="111">
        <v>1263</v>
      </c>
      <c r="L41" s="111">
        <v>9899</v>
      </c>
      <c r="M41" s="113" t="s">
        <v>110</v>
      </c>
      <c r="N41" s="115" t="s">
        <v>796</v>
      </c>
      <c r="O41" s="110"/>
      <c r="P41" s="109">
        <v>92</v>
      </c>
      <c r="Q41" s="107"/>
    </row>
    <row r="42" spans="1:17" ht="10.5" customHeight="1">
      <c r="A42" s="90"/>
      <c r="B42" s="91"/>
      <c r="C42" s="95">
        <v>920</v>
      </c>
      <c r="D42" s="82" t="s">
        <v>736</v>
      </c>
      <c r="E42" s="84">
        <v>14261</v>
      </c>
      <c r="F42" s="87">
        <v>7</v>
      </c>
      <c r="G42" s="87">
        <v>2953</v>
      </c>
      <c r="H42" s="87">
        <v>11</v>
      </c>
      <c r="I42" s="111">
        <v>1169</v>
      </c>
      <c r="J42" s="111">
        <v>11</v>
      </c>
      <c r="K42" s="111">
        <v>1263</v>
      </c>
      <c r="L42" s="111">
        <v>9899</v>
      </c>
      <c r="M42" s="113" t="s">
        <v>110</v>
      </c>
      <c r="N42" s="115" t="s">
        <v>797</v>
      </c>
      <c r="O42" s="110">
        <v>920</v>
      </c>
      <c r="P42" s="106"/>
      <c r="Q42" s="107"/>
    </row>
    <row r="43" spans="1:17" ht="10.5" customHeight="1">
      <c r="A43" s="90"/>
      <c r="B43" s="94">
        <v>93</v>
      </c>
      <c r="C43" s="95"/>
      <c r="D43" s="82" t="s">
        <v>737</v>
      </c>
      <c r="E43" s="84">
        <v>22777</v>
      </c>
      <c r="F43" s="87">
        <v>2130</v>
      </c>
      <c r="G43" s="87">
        <v>16912</v>
      </c>
      <c r="H43" s="87">
        <v>1738</v>
      </c>
      <c r="I43" s="111">
        <v>14121</v>
      </c>
      <c r="J43" s="111">
        <v>1751</v>
      </c>
      <c r="K43" s="111">
        <v>16584</v>
      </c>
      <c r="L43" s="111">
        <v>100117</v>
      </c>
      <c r="M43" s="113" t="s">
        <v>110</v>
      </c>
      <c r="N43" s="115" t="s">
        <v>798</v>
      </c>
      <c r="O43" s="110"/>
      <c r="P43" s="109">
        <v>93</v>
      </c>
      <c r="Q43" s="107"/>
    </row>
    <row r="44" spans="1:17" ht="10.5" customHeight="1">
      <c r="A44" s="90"/>
      <c r="B44" s="91"/>
      <c r="C44" s="95">
        <v>931</v>
      </c>
      <c r="D44" s="82" t="s">
        <v>738</v>
      </c>
      <c r="E44" s="84">
        <v>4766</v>
      </c>
      <c r="F44" s="87">
        <v>133</v>
      </c>
      <c r="G44" s="87">
        <v>8515</v>
      </c>
      <c r="H44" s="87">
        <v>137</v>
      </c>
      <c r="I44" s="111">
        <v>6967</v>
      </c>
      <c r="J44" s="111">
        <v>132</v>
      </c>
      <c r="K44" s="111">
        <v>7835</v>
      </c>
      <c r="L44" s="111">
        <v>43790</v>
      </c>
      <c r="M44" s="113" t="s">
        <v>110</v>
      </c>
      <c r="N44" s="115" t="s">
        <v>799</v>
      </c>
      <c r="O44" s="110">
        <v>931</v>
      </c>
      <c r="P44" s="106"/>
      <c r="Q44" s="107"/>
    </row>
    <row r="45" spans="1:17" ht="10.5" customHeight="1">
      <c r="A45" s="90"/>
      <c r="B45" s="91"/>
      <c r="C45" s="95">
        <v>932</v>
      </c>
      <c r="D45" s="82" t="s">
        <v>739</v>
      </c>
      <c r="E45" s="84">
        <v>18011</v>
      </c>
      <c r="F45" s="87">
        <v>1997</v>
      </c>
      <c r="G45" s="87">
        <v>8396</v>
      </c>
      <c r="H45" s="87">
        <v>1601</v>
      </c>
      <c r="I45" s="111">
        <v>7154</v>
      </c>
      <c r="J45" s="111">
        <v>1620</v>
      </c>
      <c r="K45" s="111">
        <v>8749</v>
      </c>
      <c r="L45" s="111">
        <v>56327</v>
      </c>
      <c r="M45" s="113" t="s">
        <v>110</v>
      </c>
      <c r="N45" s="115" t="s">
        <v>800</v>
      </c>
      <c r="O45" s="110">
        <v>932</v>
      </c>
      <c r="P45" s="106"/>
      <c r="Q45" s="107"/>
    </row>
    <row r="46" spans="1:17" ht="14.1" customHeight="1">
      <c r="A46" s="93" t="s">
        <v>759</v>
      </c>
      <c r="B46" s="91"/>
      <c r="C46" s="95"/>
      <c r="D46" s="83" t="s">
        <v>740</v>
      </c>
      <c r="E46" s="85">
        <v>94619</v>
      </c>
      <c r="F46" s="88">
        <v>6028</v>
      </c>
      <c r="G46" s="88">
        <v>44563</v>
      </c>
      <c r="H46" s="88">
        <v>5905</v>
      </c>
      <c r="I46" s="112">
        <v>45287</v>
      </c>
      <c r="J46" s="112">
        <v>6091</v>
      </c>
      <c r="K46" s="112">
        <v>50547</v>
      </c>
      <c r="L46" s="112">
        <v>306531</v>
      </c>
      <c r="M46" s="114" t="s">
        <v>110</v>
      </c>
      <c r="N46" s="116" t="s">
        <v>801</v>
      </c>
      <c r="O46" s="110"/>
      <c r="P46" s="106"/>
      <c r="Q46" s="108" t="s">
        <v>759</v>
      </c>
    </row>
    <row r="47" spans="1:17" ht="10.5" customHeight="1">
      <c r="A47" s="90"/>
      <c r="B47" s="94">
        <v>94</v>
      </c>
      <c r="C47" s="95"/>
      <c r="D47" s="82" t="s">
        <v>741</v>
      </c>
      <c r="E47" s="84">
        <v>668</v>
      </c>
      <c r="F47" s="87">
        <v>21</v>
      </c>
      <c r="G47" s="87">
        <v>4070</v>
      </c>
      <c r="H47" s="87">
        <v>12</v>
      </c>
      <c r="I47" s="111">
        <v>3864</v>
      </c>
      <c r="J47" s="111">
        <v>11</v>
      </c>
      <c r="K47" s="111">
        <v>5320</v>
      </c>
      <c r="L47" s="111">
        <v>23716</v>
      </c>
      <c r="M47" s="113" t="s">
        <v>110</v>
      </c>
      <c r="N47" s="115" t="s">
        <v>802</v>
      </c>
      <c r="O47" s="110"/>
      <c r="P47" s="109">
        <v>94</v>
      </c>
      <c r="Q47" s="107"/>
    </row>
    <row r="48" spans="1:17" ht="10.5" customHeight="1">
      <c r="A48" s="90"/>
      <c r="B48" s="91"/>
      <c r="C48" s="95">
        <v>941</v>
      </c>
      <c r="D48" s="82" t="s">
        <v>742</v>
      </c>
      <c r="E48" s="84">
        <v>16</v>
      </c>
      <c r="F48" s="87">
        <v>0</v>
      </c>
      <c r="G48" s="87">
        <v>16</v>
      </c>
      <c r="H48" s="87">
        <v>0</v>
      </c>
      <c r="I48" s="111">
        <v>17</v>
      </c>
      <c r="J48" s="111">
        <v>0</v>
      </c>
      <c r="K48" s="111">
        <v>19</v>
      </c>
      <c r="L48" s="111">
        <v>99</v>
      </c>
      <c r="M48" s="113" t="s">
        <v>110</v>
      </c>
      <c r="N48" s="115" t="s">
        <v>803</v>
      </c>
      <c r="O48" s="110">
        <v>941</v>
      </c>
      <c r="P48" s="106"/>
      <c r="Q48" s="107"/>
    </row>
    <row r="49" spans="1:17" ht="20.100000000000001" customHeight="1">
      <c r="A49" s="90"/>
      <c r="B49" s="91"/>
      <c r="C49" s="95">
        <v>942</v>
      </c>
      <c r="D49" s="82" t="s">
        <v>743</v>
      </c>
      <c r="E49" s="84">
        <v>212</v>
      </c>
      <c r="F49" s="87">
        <v>7</v>
      </c>
      <c r="G49" s="87">
        <v>1578</v>
      </c>
      <c r="H49" s="87">
        <v>3</v>
      </c>
      <c r="I49" s="111">
        <v>1590</v>
      </c>
      <c r="J49" s="111">
        <v>5</v>
      </c>
      <c r="K49" s="111">
        <v>2300</v>
      </c>
      <c r="L49" s="111">
        <v>9545</v>
      </c>
      <c r="M49" s="113" t="s">
        <v>110</v>
      </c>
      <c r="N49" s="115" t="s">
        <v>804</v>
      </c>
      <c r="O49" s="110">
        <v>942</v>
      </c>
      <c r="P49" s="106"/>
      <c r="Q49" s="107"/>
    </row>
    <row r="50" spans="1:17" ht="10.5" customHeight="1">
      <c r="A50" s="90"/>
      <c r="B50" s="91"/>
      <c r="C50" s="95">
        <v>949</v>
      </c>
      <c r="D50" s="82" t="s">
        <v>744</v>
      </c>
      <c r="E50" s="84">
        <v>440</v>
      </c>
      <c r="F50" s="87">
        <v>14</v>
      </c>
      <c r="G50" s="87">
        <v>2476</v>
      </c>
      <c r="H50" s="87">
        <v>9</v>
      </c>
      <c r="I50" s="111">
        <v>2257</v>
      </c>
      <c r="J50" s="111">
        <v>5</v>
      </c>
      <c r="K50" s="111">
        <v>3002</v>
      </c>
      <c r="L50" s="111">
        <v>14072</v>
      </c>
      <c r="M50" s="113" t="s">
        <v>110</v>
      </c>
      <c r="N50" s="115" t="s">
        <v>805</v>
      </c>
      <c r="O50" s="110">
        <v>949</v>
      </c>
      <c r="P50" s="106"/>
      <c r="Q50" s="107"/>
    </row>
    <row r="51" spans="1:17" ht="10.5" customHeight="1">
      <c r="A51" s="90"/>
      <c r="B51" s="94">
        <v>95</v>
      </c>
      <c r="C51" s="95"/>
      <c r="D51" s="82" t="s">
        <v>745</v>
      </c>
      <c r="E51" s="84">
        <v>33251</v>
      </c>
      <c r="F51" s="87">
        <v>1612</v>
      </c>
      <c r="G51" s="87">
        <v>26786</v>
      </c>
      <c r="H51" s="87">
        <v>1587</v>
      </c>
      <c r="I51" s="111">
        <v>26756</v>
      </c>
      <c r="J51" s="111">
        <v>1626</v>
      </c>
      <c r="K51" s="111">
        <v>28927</v>
      </c>
      <c r="L51" s="111">
        <v>170362</v>
      </c>
      <c r="M51" s="113" t="s">
        <v>110</v>
      </c>
      <c r="N51" s="115" t="s">
        <v>806</v>
      </c>
      <c r="O51" s="110"/>
      <c r="P51" s="109">
        <v>95</v>
      </c>
      <c r="Q51" s="107"/>
    </row>
    <row r="52" spans="1:17" ht="20.100000000000001" customHeight="1">
      <c r="A52" s="90"/>
      <c r="B52" s="91"/>
      <c r="C52" s="95">
        <v>951</v>
      </c>
      <c r="D52" s="82" t="s">
        <v>746</v>
      </c>
      <c r="E52" s="84">
        <v>15647</v>
      </c>
      <c r="F52" s="87">
        <v>577</v>
      </c>
      <c r="G52" s="87">
        <v>19744</v>
      </c>
      <c r="H52" s="87">
        <v>563</v>
      </c>
      <c r="I52" s="111">
        <v>19067</v>
      </c>
      <c r="J52" s="111">
        <v>584</v>
      </c>
      <c r="K52" s="111">
        <v>20679</v>
      </c>
      <c r="L52" s="111">
        <v>120766</v>
      </c>
      <c r="M52" s="113" t="s">
        <v>110</v>
      </c>
      <c r="N52" s="115" t="s">
        <v>807</v>
      </c>
      <c r="O52" s="110">
        <v>951</v>
      </c>
      <c r="P52" s="106"/>
      <c r="Q52" s="107"/>
    </row>
    <row r="53" spans="1:17" ht="20.100000000000001" customHeight="1">
      <c r="A53" s="90"/>
      <c r="B53" s="91"/>
      <c r="C53" s="95">
        <v>952</v>
      </c>
      <c r="D53" s="82" t="s">
        <v>747</v>
      </c>
      <c r="E53" s="84">
        <v>4208</v>
      </c>
      <c r="F53" s="87">
        <v>172</v>
      </c>
      <c r="G53" s="87">
        <v>3761</v>
      </c>
      <c r="H53" s="87">
        <v>166</v>
      </c>
      <c r="I53" s="111">
        <v>4359</v>
      </c>
      <c r="J53" s="111">
        <v>173</v>
      </c>
      <c r="K53" s="111">
        <v>4620</v>
      </c>
      <c r="L53" s="111">
        <v>25562</v>
      </c>
      <c r="M53" s="113" t="s">
        <v>110</v>
      </c>
      <c r="N53" s="115" t="s">
        <v>808</v>
      </c>
      <c r="O53" s="110">
        <v>952</v>
      </c>
      <c r="P53" s="106"/>
      <c r="Q53" s="107"/>
    </row>
    <row r="54" spans="1:17" ht="20.100000000000001" customHeight="1">
      <c r="A54" s="90"/>
      <c r="B54" s="91"/>
      <c r="C54" s="95">
        <v>959</v>
      </c>
      <c r="D54" s="82" t="s">
        <v>748</v>
      </c>
      <c r="E54" s="84">
        <v>13396</v>
      </c>
      <c r="F54" s="87">
        <v>863</v>
      </c>
      <c r="G54" s="87">
        <v>3281</v>
      </c>
      <c r="H54" s="87">
        <v>858</v>
      </c>
      <c r="I54" s="111">
        <v>3331</v>
      </c>
      <c r="J54" s="111">
        <v>870</v>
      </c>
      <c r="K54" s="111">
        <v>3628</v>
      </c>
      <c r="L54" s="111">
        <v>24034</v>
      </c>
      <c r="M54" s="113" t="s">
        <v>110</v>
      </c>
      <c r="N54" s="115" t="s">
        <v>809</v>
      </c>
      <c r="O54" s="110">
        <v>959</v>
      </c>
      <c r="P54" s="106"/>
      <c r="Q54" s="107"/>
    </row>
    <row r="55" spans="1:17" ht="10.5" customHeight="1">
      <c r="A55" s="90"/>
      <c r="B55" s="94">
        <v>96</v>
      </c>
      <c r="C55" s="95"/>
      <c r="D55" s="82" t="s">
        <v>749</v>
      </c>
      <c r="E55" s="84">
        <v>60700</v>
      </c>
      <c r="F55" s="87">
        <v>4394</v>
      </c>
      <c r="G55" s="87">
        <v>13707</v>
      </c>
      <c r="H55" s="87">
        <v>4306</v>
      </c>
      <c r="I55" s="111">
        <v>14666</v>
      </c>
      <c r="J55" s="111">
        <v>4454</v>
      </c>
      <c r="K55" s="111">
        <v>16300</v>
      </c>
      <c r="L55" s="111">
        <v>112452</v>
      </c>
      <c r="M55" s="113" t="s">
        <v>110</v>
      </c>
      <c r="N55" s="115" t="s">
        <v>810</v>
      </c>
      <c r="O55" s="110"/>
      <c r="P55" s="109">
        <v>96</v>
      </c>
      <c r="Q55" s="107"/>
    </row>
    <row r="56" spans="1:17" ht="10.5" customHeight="1">
      <c r="A56" s="90"/>
      <c r="B56" s="91"/>
      <c r="C56" s="95">
        <v>961</v>
      </c>
      <c r="D56" s="82" t="s">
        <v>750</v>
      </c>
      <c r="E56" s="84">
        <v>7254</v>
      </c>
      <c r="F56" s="87">
        <v>396</v>
      </c>
      <c r="G56" s="87">
        <v>1662</v>
      </c>
      <c r="H56" s="87">
        <v>397</v>
      </c>
      <c r="I56" s="111">
        <v>1599</v>
      </c>
      <c r="J56" s="111">
        <v>402</v>
      </c>
      <c r="K56" s="111">
        <v>1829</v>
      </c>
      <c r="L56" s="111">
        <v>12328</v>
      </c>
      <c r="M56" s="113" t="s">
        <v>110</v>
      </c>
      <c r="N56" s="115" t="s">
        <v>811</v>
      </c>
      <c r="O56" s="110">
        <v>961</v>
      </c>
      <c r="P56" s="106"/>
      <c r="Q56" s="107"/>
    </row>
    <row r="57" spans="1:17" ht="10.5" customHeight="1">
      <c r="A57" s="90"/>
      <c r="B57" s="91"/>
      <c r="C57" s="95">
        <v>962</v>
      </c>
      <c r="D57" s="82" t="s">
        <v>751</v>
      </c>
      <c r="E57" s="84">
        <v>35413</v>
      </c>
      <c r="F57" s="87">
        <v>3074</v>
      </c>
      <c r="G57" s="87">
        <v>4580</v>
      </c>
      <c r="H57" s="87">
        <v>2986</v>
      </c>
      <c r="I57" s="111">
        <v>4907</v>
      </c>
      <c r="J57" s="111">
        <v>3101</v>
      </c>
      <c r="K57" s="111">
        <v>4985</v>
      </c>
      <c r="L57" s="111">
        <v>46632</v>
      </c>
      <c r="M57" s="113" t="s">
        <v>110</v>
      </c>
      <c r="N57" s="115" t="s">
        <v>812</v>
      </c>
      <c r="O57" s="110">
        <v>962</v>
      </c>
      <c r="P57" s="106"/>
      <c r="Q57" s="107"/>
    </row>
    <row r="58" spans="1:17" ht="10.5" customHeight="1">
      <c r="A58" s="90"/>
      <c r="B58" s="91"/>
      <c r="C58" s="95">
        <v>963</v>
      </c>
      <c r="D58" s="82" t="s">
        <v>752</v>
      </c>
      <c r="E58" s="84">
        <v>4524</v>
      </c>
      <c r="F58" s="87">
        <v>166</v>
      </c>
      <c r="G58" s="87">
        <v>3677</v>
      </c>
      <c r="H58" s="87">
        <v>150</v>
      </c>
      <c r="I58" s="111">
        <v>3422</v>
      </c>
      <c r="J58" s="111">
        <v>152</v>
      </c>
      <c r="K58" s="111">
        <v>4641</v>
      </c>
      <c r="L58" s="111">
        <v>24397</v>
      </c>
      <c r="M58" s="113" t="s">
        <v>110</v>
      </c>
      <c r="N58" s="115" t="s">
        <v>813</v>
      </c>
      <c r="O58" s="110">
        <v>963</v>
      </c>
      <c r="P58" s="106"/>
      <c r="Q58" s="107"/>
    </row>
    <row r="59" spans="1:17" ht="10.5" customHeight="1">
      <c r="A59" s="90"/>
      <c r="B59" s="91"/>
      <c r="C59" s="95">
        <v>964</v>
      </c>
      <c r="D59" s="82" t="s">
        <v>753</v>
      </c>
      <c r="E59" s="84">
        <v>76</v>
      </c>
      <c r="F59" s="87">
        <v>2</v>
      </c>
      <c r="G59" s="87">
        <v>33</v>
      </c>
      <c r="H59" s="87">
        <v>2</v>
      </c>
      <c r="I59" s="111">
        <v>733</v>
      </c>
      <c r="J59" s="111">
        <v>2</v>
      </c>
      <c r="K59" s="111">
        <v>385</v>
      </c>
      <c r="L59" s="111">
        <v>1246</v>
      </c>
      <c r="M59" s="113" t="s">
        <v>110</v>
      </c>
      <c r="N59" s="115" t="s">
        <v>814</v>
      </c>
      <c r="O59" s="110">
        <v>964</v>
      </c>
      <c r="P59" s="106"/>
      <c r="Q59" s="107"/>
    </row>
    <row r="60" spans="1:17" ht="10.5" customHeight="1">
      <c r="A60" s="90"/>
      <c r="B60" s="91"/>
      <c r="C60" s="95">
        <v>969</v>
      </c>
      <c r="D60" s="82" t="s">
        <v>754</v>
      </c>
      <c r="E60" s="84">
        <v>13433</v>
      </c>
      <c r="F60" s="87">
        <v>756</v>
      </c>
      <c r="G60" s="87">
        <v>3755</v>
      </c>
      <c r="H60" s="87">
        <v>770</v>
      </c>
      <c r="I60" s="111">
        <v>4004</v>
      </c>
      <c r="J60" s="111">
        <v>798</v>
      </c>
      <c r="K60" s="111">
        <v>4459</v>
      </c>
      <c r="L60" s="111">
        <v>27849</v>
      </c>
      <c r="M60" s="113" t="s">
        <v>110</v>
      </c>
      <c r="N60" s="115" t="s">
        <v>815</v>
      </c>
      <c r="O60" s="110">
        <v>969</v>
      </c>
      <c r="P60" s="106"/>
      <c r="Q60" s="107"/>
    </row>
    <row r="61" spans="1:17" ht="14.1" customHeight="1">
      <c r="A61" s="125" t="s">
        <v>760</v>
      </c>
      <c r="B61" s="91"/>
      <c r="C61" s="95"/>
      <c r="D61" s="83" t="s">
        <v>755</v>
      </c>
      <c r="E61" s="85">
        <v>865</v>
      </c>
      <c r="F61" s="88">
        <v>1798</v>
      </c>
      <c r="G61" s="88">
        <v>3526</v>
      </c>
      <c r="H61" s="88">
        <v>3129</v>
      </c>
      <c r="I61" s="112">
        <v>2940</v>
      </c>
      <c r="J61" s="112">
        <v>1818</v>
      </c>
      <c r="K61" s="112">
        <v>6932</v>
      </c>
      <c r="L61" s="112">
        <v>33890</v>
      </c>
      <c r="M61" s="114" t="s">
        <v>110</v>
      </c>
      <c r="N61" s="116" t="s">
        <v>816</v>
      </c>
      <c r="O61" s="110"/>
      <c r="P61" s="106"/>
      <c r="Q61" s="126" t="s">
        <v>760</v>
      </c>
    </row>
    <row r="62" spans="1:17" ht="5.0999999999999996" customHeight="1" thickBot="1">
      <c r="A62" s="23"/>
      <c r="B62" s="25"/>
      <c r="C62" s="25"/>
      <c r="D62" s="13"/>
      <c r="E62" s="17"/>
      <c r="F62" s="9"/>
      <c r="G62" s="9"/>
      <c r="H62" s="15"/>
      <c r="I62" s="13"/>
      <c r="J62" s="11"/>
      <c r="K62" s="11"/>
      <c r="L62" s="11"/>
      <c r="M62" s="37"/>
      <c r="N62" s="39"/>
      <c r="O62" s="9"/>
      <c r="P62" s="9"/>
      <c r="Q62" s="7"/>
    </row>
    <row r="64" spans="1:17" ht="15" customHeight="1"/>
  </sheetData>
  <mergeCells count="12">
    <mergeCell ref="I1:Q1"/>
    <mergeCell ref="A1:H1"/>
    <mergeCell ref="Q3:Q6"/>
    <mergeCell ref="F3:H3"/>
    <mergeCell ref="I3:M3"/>
    <mergeCell ref="A3:A6"/>
    <mergeCell ref="B3:B6"/>
    <mergeCell ref="C3:C6"/>
    <mergeCell ref="D3:D6"/>
    <mergeCell ref="P3:P6"/>
    <mergeCell ref="O3:O6"/>
    <mergeCell ref="N3:N6"/>
  </mergeCells>
  <phoneticPr fontId="2" type="noConversion"/>
  <printOptions horizontalCentered="1"/>
  <pageMargins left="0.78740157480314965" right="0.78740157480314965" top="0.59055118110236227" bottom="1.1811023622047245" header="0.39370078740157483" footer="1.1811023622047245"/>
  <pageSetup paperSize="9" firstPageNumber="104" orientation="portrait" useFirstPageNumber="1" horizontalDpi="4294967292" r:id="rId1"/>
  <headerFooter alignWithMargins="0">
    <oddFooter>&amp;C&amp;10 - &amp;P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表</vt:lpstr>
      <vt:lpstr>表(續1)</vt:lpstr>
      <vt:lpstr>表(續2)</vt:lpstr>
      <vt:lpstr>表(續3)</vt:lpstr>
      <vt:lpstr>表(續4)</vt:lpstr>
      <vt:lpstr>表(續5)</vt:lpstr>
      <vt:lpstr>表(續6完)</vt:lpstr>
    </vt:vector>
  </TitlesOfParts>
  <Company>GOTAC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ANITA</dc:creator>
  <cp:lastModifiedBy>楊子江</cp:lastModifiedBy>
  <cp:lastPrinted>2023-09-20T10:21:32Z</cp:lastPrinted>
  <dcterms:created xsi:type="dcterms:W3CDTF">2001-11-06T09:07:39Z</dcterms:created>
  <dcterms:modified xsi:type="dcterms:W3CDTF">2024-03-25T06:44:01Z</dcterms:modified>
</cp:coreProperties>
</file>
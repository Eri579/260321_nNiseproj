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<sst xmlns="http://schemas.openxmlformats.org/spreadsheetml/2006/main" count="1051" uniqueCount="818">
  <si>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</si>
  <si>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</si>
  <si>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</si>
  <si>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</si>
  <si>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</si>
  <si>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</si>
  <si>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</si>
  <si>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</si>
  <si>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</si>
  <si>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</si>
  <si>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</si>
  <si>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</si>
  <si>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</si>
  <si>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</si>
  <si>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</si>
  <si>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</si>
  <si>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</si>
  <si>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</si>
  <si>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</si>
  <si>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</si>
  <si>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</si>
  <si>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</si>
  <si>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</si>
  <si>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</si>
  <si>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</si>
  <si>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</si>
  <si>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</si>
  <si>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</si>
  <si>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</si>
  <si>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</si>
  <si>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</si>
  <si>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</si>
  <si>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</si>
  <si>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</si>
  <si>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</si>
  <si>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</si>
  <si>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</si>
  <si>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</si>
  <si>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</si>
  <si>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</si>
  <si>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增減率</t>
    <phoneticPr fontId="2" type="noConversion"/>
  </si>
  <si>
    <t>Growth Rate</t>
    <phoneticPr fontId="2" type="noConversion"/>
  </si>
  <si>
    <t>(D)表示不陳示數值以保護個別資料。</t>
  </si>
  <si>
    <t>本表資料分類自112年1月起改採「中華民國稅務行業標準分類(第9次修訂)」。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</si>
  <si>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</si>
  <si>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</si>
  <si>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</si>
  <si>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</si>
  <si>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</si>
  <si>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</si>
  <si>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</si>
  <si>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</si>
  <si>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</si>
  <si>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</si>
  <si>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</si>
  <si>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</si>
  <si>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</si>
  <si>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</si>
  <si>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</si>
  <si>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</si>
  <si>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</si>
  <si>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</si>
  <si>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</si>
  <si>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</si>
  <si>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</si>
  <si>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</si>
  <si>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</si>
  <si>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</si>
  <si>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</si>
  <si>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</si>
  <si>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</si>
  <si>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</si>
  <si>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</si>
  <si>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</si>
  <si>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</si>
  <si>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</si>
  <si>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</si>
  <si>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</si>
  <si>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</si>
  <si>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</si>
  <si>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</si>
  <si>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</si>
  <si>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</si>
  <si>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</si>
  <si>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</si>
  <si>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</si>
  <si>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</si>
  <si>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</si>
  <si>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</si>
  <si>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</si>
  <si>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</si>
  <si>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</si>
  <si>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</si>
  <si>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</si>
  <si>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</si>
  <si>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</si>
  <si>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8月</t>
  </si>
  <si>
    <t>112年 9月</t>
  </si>
  <si>
    <t>112年10月</t>
  </si>
  <si>
    <t xml:space="preserve"> Jan. 2024</t>
  </si>
  <si>
    <t xml:space="preserve"> Aug. 2023</t>
  </si>
  <si>
    <t xml:space="preserve"> Sept. 2023</t>
  </si>
  <si>
    <t xml:space="preserve"> Oct. 2023</t>
  </si>
  <si>
    <t>附　　註：</t>
  </si>
  <si>
    <t>說　　明：</t>
  </si>
  <si>
    <t>總計</t>
  </si>
  <si>
    <t>113年 1月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</si>
  <si>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</si>
  <si>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</si>
  <si>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China.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</si>
  <si>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</si>
  <si>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</si>
  <si>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</si>
  <si>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</si>
  <si>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</si>
  <si>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</si>
  <si>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</si>
  <si>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</si>
  <si>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</si>
  <si>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</si>
  <si>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</si>
  <si>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</si>
  <si>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      --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</si>
  <si>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</si>
  <si>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</si>
  <si>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</si>
  <si>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</si>
  <si>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</si>
  <si>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</si>
  <si>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</si>
  <si>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</si>
  <si>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</si>
  <si>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</si>
  <si>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</si>
  <si>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</si>
  <si>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</si>
  <si>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</si>
  <si>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</si>
  <si>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</si>
  <si>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</si>
  <si>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</si>
  <si>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</si>
  <si>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</si>
  <si>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</si>
  <si>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</si>
  <si>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</si>
  <si>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</si>
  <si>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</si>
  <si>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</si>
  <si>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</si>
  <si>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</si>
  <si>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</si>
  <si>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</si>
  <si>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</si>
  <si>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</si>
  <si>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</si>
  <si>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</si>
  <si>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</si>
  <si>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</si>
  <si>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</si>
  <si>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</si>
  <si>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112年12月</t>
  </si>
  <si>
    <t xml:space="preserve"> Nov. 2023</t>
  </si>
  <si>
    <t xml:space="preserve"> Dec. 2023</t>
  </si>
  <si>
    <t>Jan. -  Jan. 2024</t>
  </si>
  <si>
    <t>Note：</t>
  </si>
  <si>
    <t>Explanation：</t>
  </si>
  <si>
    <t>113年 1 - 1月</t>
  </si>
  <si>
    <t>112年11月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</si>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</sst>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###,##0.00\ "/>
    <numFmt numFmtId="183" formatCode="\-##,###,##0\ "/>
    <numFmt numFmtId="184" formatCode="###,##0.00;\ \-###,##0.00;\ &quot;        －&quot;\ "/>
    <numFmt numFmtId="185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15" xfId="0" applyFont="1" applyBorder="1" applyAlignment="1">
      <alignment horizontal="center" wrapText="1"/>
    </xf>
    <xf numFmtId="0" fontId="7" fillId="0" borderId="17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5" fillId="0" borderId="8" xfId="0" applyFont="1" applyBorder="1" applyAlignment="1">
      <alignment vertical="top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182" fontId="15" fillId="0" borderId="16" xfId="0" applyNumberFormat="1" applyFont="1" applyBorder="1" applyAlignment="1">
      <alignment horizontal="right" vertical="top"/>
    </xf>
    <xf numFmtId="182" fontId="19" fillId="0" borderId="16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181" fontId="15" fillId="0" borderId="7" xfId="0" applyNumberFormat="1" applyFont="1" applyBorder="1" applyAlignment="1">
      <alignment horizontal="right" vertical="top"/>
    </xf>
    <xf numFmtId="0" fontId="15" fillId="0" borderId="16" xfId="0" applyFont="1" applyBorder="1" applyAlignment="1">
      <alignment horizontal="right" vertical="top"/>
    </xf>
    <xf numFmtId="49" fontId="22" fillId="0" borderId="2" xfId="0" applyNumberFormat="1" applyFont="1" applyBorder="1" applyAlignment="1">
      <alignment horizontal="center" vertical="top"/>
    </xf>
    <xf numFmtId="183" fontId="15" fillId="0" borderId="7" xfId="0" applyNumberFormat="1" applyFont="1" applyBorder="1" applyAlignment="1">
      <alignment horizontal="right" vertical="top"/>
    </xf>
    <xf numFmtId="184" fontId="15" fillId="0" borderId="16" xfId="0" applyNumberFormat="1" applyFont="1" applyBorder="1" applyAlignment="1">
      <alignment horizontal="right" vertical="top"/>
    </xf>
    <xf numFmtId="183" fontId="15" fillId="0" borderId="2" xfId="0" applyNumberFormat="1" applyFont="1" applyBorder="1" applyAlignment="1">
      <alignment horizontal="right" vertical="top"/>
    </xf>
    <xf numFmtId="181" fontId="15" fillId="0" borderId="1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0" fontId="19" fillId="0" borderId="16" xfId="0" applyFont="1" applyBorder="1" applyAlignment="1">
      <alignment horizontal="right" vertical="top"/>
    </xf>
    <xf numFmtId="185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107</v>
      </c>
      <c r="B1" s="48"/>
      <c r="C1" s="48"/>
      <c r="D1" s="48"/>
      <c r="E1" s="48"/>
      <c r="F1" s="48"/>
      <c r="G1" s="48"/>
      <c r="H1" s="48"/>
      <c r="I1" s="47" t="s">
        <v>169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0</v>
      </c>
      <c r="E3" s="21" t="s">
        <v>3</v>
      </c>
      <c r="F3" s="53" t="s">
        <v>2</v>
      </c>
      <c r="G3" s="54"/>
      <c r="H3" s="55"/>
      <c r="I3" s="56" t="s">
        <v>4</v>
      </c>
      <c r="J3" s="56"/>
      <c r="K3" s="56"/>
      <c r="L3" s="56"/>
      <c r="M3" s="57"/>
      <c r="N3" s="75" t="s">
        <v>5</v>
      </c>
      <c r="O3" s="74" t="s">
        <v>6</v>
      </c>
      <c r="P3" s="70" t="s">
        <v>7</v>
      </c>
      <c r="Q3" s="49" t="s">
        <v>8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33"/>
      <c r="J4" s="30"/>
      <c r="K4" s="30"/>
      <c r="L4" s="43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8" t="s">
        <v>106</v>
      </c>
      <c r="L5" s="118" t="s">
        <v>167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89"/>
      <c r="B8" s="90"/>
      <c r="C8" s="91"/>
      <c r="D8" s="82" t="s">
        <v>105</v>
      </c>
      <c r="E8" s="84">
        <v>1642383</v>
      </c>
      <c r="F8" s="87">
        <v>8459400</v>
      </c>
      <c r="G8" s="87">
        <v>781641</v>
      </c>
      <c r="H8" s="87">
        <v>8335046</v>
      </c>
      <c r="I8" s="111">
        <v>804654</v>
      </c>
      <c r="J8" s="111">
        <v>10387743</v>
      </c>
      <c r="K8" s="111">
        <v>759013</v>
      </c>
      <c r="L8" s="111">
        <v>759013</v>
      </c>
      <c r="M8" s="113">
        <v>16.059999999999999</v>
      </c>
      <c r="N8" s="115" t="s">
        <v>110</v>
      </c>
      <c r="O8" s="104"/>
      <c r="P8" s="105"/>
      <c r="Q8" s="106"/>
    </row>
    <row r="9" spans="1:17" ht="14.1" customHeight="1">
      <c r="A9" s="92" t="s">
        <v>93</v>
      </c>
      <c r="B9" s="90"/>
      <c r="C9" s="91"/>
      <c r="D9" s="82" t="s">
        <v>44</v>
      </c>
      <c r="E9" s="84">
        <v>11100</v>
      </c>
      <c r="F9" s="87">
        <v>13784</v>
      </c>
      <c r="G9" s="87">
        <v>178</v>
      </c>
      <c r="H9" s="87">
        <v>12598</v>
      </c>
      <c r="I9" s="111">
        <v>163</v>
      </c>
      <c r="J9" s="111">
        <v>15237</v>
      </c>
      <c r="K9" s="111">
        <v>251</v>
      </c>
      <c r="L9" s="111">
        <v>251</v>
      </c>
      <c r="M9" s="113">
        <v>43.16</v>
      </c>
      <c r="N9" s="115" t="s">
        <v>111</v>
      </c>
      <c r="O9" s="104"/>
      <c r="P9" s="105"/>
      <c r="Q9" s="107" t="s">
        <v>93</v>
      </c>
    </row>
    <row r="10" spans="1:17" ht="10.5" customHeight="1">
      <c r="A10" s="89"/>
      <c r="B10" s="93">
        <v>1</v>
      </c>
      <c r="C10" s="91"/>
      <c r="D10" s="81" t="s">
        <v>45</v>
      </c>
      <c r="E10" s="83">
        <v>8502</v>
      </c>
      <c r="F10" s="86">
        <v>9644</v>
      </c>
      <c r="G10" s="86">
        <v>170</v>
      </c>
      <c r="H10" s="86">
        <v>9788</v>
      </c>
      <c r="I10" s="110">
        <v>153</v>
      </c>
      <c r="J10" s="110">
        <v>11543</v>
      </c>
      <c r="K10" s="110">
        <v>243</v>
      </c>
      <c r="L10" s="110">
        <v>243</v>
      </c>
      <c r="M10" s="112">
        <v>45.58</v>
      </c>
      <c r="N10" s="114" t="s">
        <v>112</v>
      </c>
      <c r="O10" s="104"/>
      <c r="P10" s="108">
        <v>1</v>
      </c>
      <c r="Q10" s="106"/>
    </row>
    <row r="11" spans="1:17" ht="10.5" customHeight="1">
      <c r="A11" s="89"/>
      <c r="B11" s="90"/>
      <c r="C11" s="94">
        <v>11</v>
      </c>
      <c r="D11" s="81" t="s">
        <v>46</v>
      </c>
      <c r="E11" s="83">
        <v>5732</v>
      </c>
      <c r="F11" s="86">
        <v>4829</v>
      </c>
      <c r="G11" s="86">
        <v>116</v>
      </c>
      <c r="H11" s="86">
        <v>4692</v>
      </c>
      <c r="I11" s="110">
        <v>103</v>
      </c>
      <c r="J11" s="110">
        <v>5861</v>
      </c>
      <c r="K11" s="110">
        <v>121</v>
      </c>
      <c r="L11" s="110">
        <v>121</v>
      </c>
      <c r="M11" s="112">
        <v>2.12</v>
      </c>
      <c r="N11" s="114" t="s">
        <v>113</v>
      </c>
      <c r="O11" s="109">
        <v>11</v>
      </c>
      <c r="P11" s="105"/>
      <c r="Q11" s="106"/>
    </row>
    <row r="12" spans="1:17" ht="10.5" customHeight="1">
      <c r="A12" s="89"/>
      <c r="B12" s="90"/>
      <c r="C12" s="94">
        <v>12</v>
      </c>
      <c r="D12" s="81" t="s">
        <v>47</v>
      </c>
      <c r="E12" s="83">
        <v>1221</v>
      </c>
      <c r="F12" s="86">
        <v>2807</v>
      </c>
      <c r="G12" s="86">
        <v>17</v>
      </c>
      <c r="H12" s="86">
        <v>2945</v>
      </c>
      <c r="I12" s="110">
        <v>17</v>
      </c>
      <c r="J12" s="110">
        <v>2948</v>
      </c>
      <c r="K12" s="110">
        <v>88</v>
      </c>
      <c r="L12" s="110">
        <v>88</v>
      </c>
      <c r="M12" s="112">
        <v>469.35</v>
      </c>
      <c r="N12" s="114" t="s">
        <v>114</v>
      </c>
      <c r="O12" s="109">
        <v>12</v>
      </c>
      <c r="P12" s="105"/>
      <c r="Q12" s="106"/>
    </row>
    <row r="13" spans="1:17" ht="10.5" customHeight="1">
      <c r="A13" s="89"/>
      <c r="B13" s="90"/>
      <c r="C13" s="94">
        <v>13</v>
      </c>
      <c r="D13" s="81" t="s">
        <v>48</v>
      </c>
      <c r="E13" s="83">
        <v>1549</v>
      </c>
      <c r="F13" s="86">
        <v>2008</v>
      </c>
      <c r="G13" s="86">
        <v>37</v>
      </c>
      <c r="H13" s="86">
        <v>2151</v>
      </c>
      <c r="I13" s="110">
        <v>33</v>
      </c>
      <c r="J13" s="110">
        <v>2734</v>
      </c>
      <c r="K13" s="110">
        <v>33</v>
      </c>
      <c r="L13" s="110">
        <v>33</v>
      </c>
      <c r="M13" s="112">
        <v>2.4300000000000002</v>
      </c>
      <c r="N13" s="114" t="s">
        <v>115</v>
      </c>
      <c r="O13" s="109">
        <v>13</v>
      </c>
      <c r="P13" s="105"/>
      <c r="Q13" s="106"/>
    </row>
    <row r="14" spans="1:17" ht="10.5" customHeight="1">
      <c r="A14" s="89"/>
      <c r="B14" s="93">
        <v>2</v>
      </c>
      <c r="C14" s="91"/>
      <c r="D14" s="81" t="s">
        <v>49</v>
      </c>
      <c r="E14" s="83">
        <v>305</v>
      </c>
      <c r="F14" s="86">
        <v>675</v>
      </c>
      <c r="G14" s="86">
        <v>1</v>
      </c>
      <c r="H14" s="86">
        <v>347</v>
      </c>
      <c r="I14" s="110">
        <v>1</v>
      </c>
      <c r="J14" s="110">
        <v>446</v>
      </c>
      <c r="K14" s="110">
        <v>2</v>
      </c>
      <c r="L14" s="110">
        <v>2</v>
      </c>
      <c r="M14" s="112">
        <v>17.059999999999999</v>
      </c>
      <c r="N14" s="114" t="s">
        <v>116</v>
      </c>
      <c r="O14" s="104"/>
      <c r="P14" s="108">
        <v>2</v>
      </c>
      <c r="Q14" s="106"/>
    </row>
    <row r="15" spans="1:17" ht="10.5" customHeight="1">
      <c r="A15" s="89"/>
      <c r="B15" s="90"/>
      <c r="C15" s="94">
        <v>20</v>
      </c>
      <c r="D15" s="81" t="s">
        <v>50</v>
      </c>
      <c r="E15" s="83">
        <v>305</v>
      </c>
      <c r="F15" s="86">
        <v>675</v>
      </c>
      <c r="G15" s="86">
        <v>1</v>
      </c>
      <c r="H15" s="86">
        <v>347</v>
      </c>
      <c r="I15" s="110">
        <v>1</v>
      </c>
      <c r="J15" s="110">
        <v>446</v>
      </c>
      <c r="K15" s="110">
        <v>2</v>
      </c>
      <c r="L15" s="110">
        <v>2</v>
      </c>
      <c r="M15" s="112">
        <v>17.059999999999999</v>
      </c>
      <c r="N15" s="114" t="s">
        <v>117</v>
      </c>
      <c r="O15" s="109">
        <v>20</v>
      </c>
      <c r="P15" s="105"/>
      <c r="Q15" s="106"/>
    </row>
    <row r="16" spans="1:17" ht="10.5" customHeight="1">
      <c r="A16" s="89"/>
      <c r="B16" s="93">
        <v>3</v>
      </c>
      <c r="C16" s="91"/>
      <c r="D16" s="81" t="s">
        <v>51</v>
      </c>
      <c r="E16" s="83">
        <v>2293</v>
      </c>
      <c r="F16" s="86">
        <v>3465</v>
      </c>
      <c r="G16" s="86">
        <v>7</v>
      </c>
      <c r="H16" s="86">
        <v>2463</v>
      </c>
      <c r="I16" s="110">
        <v>9</v>
      </c>
      <c r="J16" s="110">
        <v>3248</v>
      </c>
      <c r="K16" s="110">
        <v>6</v>
      </c>
      <c r="L16" s="110">
        <v>6</v>
      </c>
      <c r="M16" s="112">
        <v>-9.6</v>
      </c>
      <c r="N16" s="114" t="s">
        <v>118</v>
      </c>
      <c r="O16" s="104"/>
      <c r="P16" s="108">
        <v>3</v>
      </c>
      <c r="Q16" s="106"/>
    </row>
    <row r="17" spans="1:17" ht="10.5" customHeight="1">
      <c r="A17" s="89"/>
      <c r="B17" s="90"/>
      <c r="C17" s="94">
        <v>31</v>
      </c>
      <c r="D17" s="81" t="s">
        <v>52</v>
      </c>
      <c r="E17" s="83">
        <v>1861</v>
      </c>
      <c r="F17" s="86">
        <v>2600</v>
      </c>
      <c r="G17" s="86">
        <v>1</v>
      </c>
      <c r="H17" s="86">
        <v>1649</v>
      </c>
      <c r="I17" s="110">
        <v>1</v>
      </c>
      <c r="J17" s="110">
        <v>2401</v>
      </c>
      <c r="K17" s="110">
        <v>1</v>
      </c>
      <c r="L17" s="110">
        <v>1</v>
      </c>
      <c r="M17" s="112">
        <v>-9.36</v>
      </c>
      <c r="N17" s="114" t="s">
        <v>119</v>
      </c>
      <c r="O17" s="109">
        <v>31</v>
      </c>
      <c r="P17" s="105"/>
      <c r="Q17" s="106"/>
    </row>
    <row r="18" spans="1:17" ht="10.5" customHeight="1">
      <c r="A18" s="89"/>
      <c r="B18" s="90"/>
      <c r="C18" s="94">
        <v>32</v>
      </c>
      <c r="D18" s="81" t="s">
        <v>53</v>
      </c>
      <c r="E18" s="83">
        <v>432</v>
      </c>
      <c r="F18" s="86">
        <v>865</v>
      </c>
      <c r="G18" s="86">
        <v>5</v>
      </c>
      <c r="H18" s="86">
        <v>814</v>
      </c>
      <c r="I18" s="110">
        <v>8</v>
      </c>
      <c r="J18" s="110">
        <v>847</v>
      </c>
      <c r="K18" s="110">
        <v>5</v>
      </c>
      <c r="L18" s="110">
        <v>5</v>
      </c>
      <c r="M18" s="112">
        <v>-9.65</v>
      </c>
      <c r="N18" s="114" t="s">
        <v>120</v>
      </c>
      <c r="O18" s="109">
        <v>32</v>
      </c>
      <c r="P18" s="105"/>
      <c r="Q18" s="106"/>
    </row>
    <row r="19" spans="1:17" ht="14.1" customHeight="1">
      <c r="A19" s="92" t="s">
        <v>94</v>
      </c>
      <c r="B19" s="90"/>
      <c r="C19" s="91"/>
      <c r="D19" s="82" t="s">
        <v>54</v>
      </c>
      <c r="E19" s="84">
        <v>1014</v>
      </c>
      <c r="F19" s="87">
        <v>10141</v>
      </c>
      <c r="G19" s="87">
        <v>19</v>
      </c>
      <c r="H19" s="87">
        <v>10811</v>
      </c>
      <c r="I19" s="111">
        <v>19</v>
      </c>
      <c r="J19" s="111">
        <v>39323</v>
      </c>
      <c r="K19" s="111">
        <v>48</v>
      </c>
      <c r="L19" s="111">
        <v>48</v>
      </c>
      <c r="M19" s="113">
        <v>34.880000000000003</v>
      </c>
      <c r="N19" s="115" t="s">
        <v>121</v>
      </c>
      <c r="O19" s="104"/>
      <c r="P19" s="105"/>
      <c r="Q19" s="107" t="s">
        <v>94</v>
      </c>
    </row>
    <row r="20" spans="1:17" ht="10.5" customHeight="1">
      <c r="A20" s="89"/>
      <c r="B20" s="93">
        <v>5</v>
      </c>
      <c r="C20" s="91"/>
      <c r="D20" s="81" t="s">
        <v>55</v>
      </c>
      <c r="E20" s="83">
        <v>20</v>
      </c>
      <c r="F20" s="86">
        <v>2689</v>
      </c>
      <c r="G20" s="88">
        <v>0</v>
      </c>
      <c r="H20" s="86">
        <v>3186</v>
      </c>
      <c r="I20" s="110">
        <v>0</v>
      </c>
      <c r="J20" s="110">
        <v>30635</v>
      </c>
      <c r="K20" s="116">
        <v>0</v>
      </c>
      <c r="L20" s="116">
        <v>0</v>
      </c>
      <c r="M20" s="117" t="s">
        <v>122</v>
      </c>
      <c r="N20" s="114" t="s">
        <v>123</v>
      </c>
      <c r="O20" s="104"/>
      <c r="P20" s="108">
        <v>5</v>
      </c>
      <c r="Q20" s="106"/>
    </row>
    <row r="21" spans="1:17" ht="10.5" customHeight="1">
      <c r="A21" s="89"/>
      <c r="B21" s="90"/>
      <c r="C21" s="94">
        <v>50</v>
      </c>
      <c r="D21" s="81" t="s">
        <v>56</v>
      </c>
      <c r="E21" s="83">
        <v>20</v>
      </c>
      <c r="F21" s="86">
        <v>2689</v>
      </c>
      <c r="G21" s="88">
        <v>0</v>
      </c>
      <c r="H21" s="86">
        <v>3186</v>
      </c>
      <c r="I21" s="110">
        <v>0</v>
      </c>
      <c r="J21" s="110">
        <v>30635</v>
      </c>
      <c r="K21" s="116">
        <v>0</v>
      </c>
      <c r="L21" s="116">
        <v>0</v>
      </c>
      <c r="M21" s="117" t="s">
        <v>122</v>
      </c>
      <c r="N21" s="114" t="s">
        <v>124</v>
      </c>
      <c r="O21" s="109">
        <v>50</v>
      </c>
      <c r="P21" s="105"/>
      <c r="Q21" s="106"/>
    </row>
    <row r="22" spans="1:17" ht="10.5" customHeight="1">
      <c r="A22" s="89"/>
      <c r="B22" s="93">
        <v>6</v>
      </c>
      <c r="C22" s="91"/>
      <c r="D22" s="81" t="s">
        <v>57</v>
      </c>
      <c r="E22" s="83">
        <v>994</v>
      </c>
      <c r="F22" s="86">
        <v>7452</v>
      </c>
      <c r="G22" s="86">
        <v>19</v>
      </c>
      <c r="H22" s="86">
        <v>7625</v>
      </c>
      <c r="I22" s="110">
        <v>19</v>
      </c>
      <c r="J22" s="110">
        <v>8688</v>
      </c>
      <c r="K22" s="110">
        <v>48</v>
      </c>
      <c r="L22" s="110">
        <v>48</v>
      </c>
      <c r="M22" s="112">
        <v>34.880000000000003</v>
      </c>
      <c r="N22" s="114" t="s">
        <v>125</v>
      </c>
      <c r="O22" s="104"/>
      <c r="P22" s="108">
        <v>6</v>
      </c>
      <c r="Q22" s="106"/>
    </row>
    <row r="23" spans="1:17" ht="10.5" customHeight="1">
      <c r="A23" s="89"/>
      <c r="B23" s="90"/>
      <c r="C23" s="94">
        <v>60</v>
      </c>
      <c r="D23" s="81" t="s">
        <v>58</v>
      </c>
      <c r="E23" s="83">
        <v>994</v>
      </c>
      <c r="F23" s="86">
        <v>7452</v>
      </c>
      <c r="G23" s="86">
        <v>19</v>
      </c>
      <c r="H23" s="86">
        <v>7625</v>
      </c>
      <c r="I23" s="110">
        <v>19</v>
      </c>
      <c r="J23" s="110">
        <v>8688</v>
      </c>
      <c r="K23" s="110">
        <v>48</v>
      </c>
      <c r="L23" s="110">
        <v>48</v>
      </c>
      <c r="M23" s="112">
        <v>34.880000000000003</v>
      </c>
      <c r="N23" s="114" t="s">
        <v>126</v>
      </c>
      <c r="O23" s="109">
        <v>60</v>
      </c>
      <c r="P23" s="105"/>
      <c r="Q23" s="106"/>
    </row>
    <row r="24" spans="1:17" ht="14.1" customHeight="1">
      <c r="A24" s="92" t="s">
        <v>95</v>
      </c>
      <c r="B24" s="90"/>
      <c r="C24" s="91"/>
      <c r="D24" s="82" t="s">
        <v>59</v>
      </c>
      <c r="E24" s="84">
        <v>143520</v>
      </c>
      <c r="F24" s="87">
        <v>2571457</v>
      </c>
      <c r="G24" s="87">
        <v>576194</v>
      </c>
      <c r="H24" s="87">
        <v>2463695</v>
      </c>
      <c r="I24" s="111">
        <v>604889</v>
      </c>
      <c r="J24" s="111">
        <v>3105545</v>
      </c>
      <c r="K24" s="111">
        <v>546296</v>
      </c>
      <c r="L24" s="111">
        <v>546296</v>
      </c>
      <c r="M24" s="113">
        <v>18.5</v>
      </c>
      <c r="N24" s="115" t="s">
        <v>127</v>
      </c>
      <c r="O24" s="104"/>
      <c r="P24" s="105"/>
      <c r="Q24" s="107" t="s">
        <v>95</v>
      </c>
    </row>
    <row r="25" spans="1:17" ht="10.5" customHeight="1">
      <c r="A25" s="89"/>
      <c r="B25" s="93">
        <v>8</v>
      </c>
      <c r="C25" s="91"/>
      <c r="D25" s="81" t="s">
        <v>60</v>
      </c>
      <c r="E25" s="83">
        <v>9972</v>
      </c>
      <c r="F25" s="86">
        <v>133649</v>
      </c>
      <c r="G25" s="86">
        <v>1684</v>
      </c>
      <c r="H25" s="86">
        <v>131684</v>
      </c>
      <c r="I25" s="110">
        <v>1335</v>
      </c>
      <c r="J25" s="110">
        <v>152699</v>
      </c>
      <c r="K25" s="110">
        <v>1827</v>
      </c>
      <c r="L25" s="110">
        <v>1827</v>
      </c>
      <c r="M25" s="112">
        <v>-0.65</v>
      </c>
      <c r="N25" s="114" t="s">
        <v>128</v>
      </c>
      <c r="O25" s="104"/>
      <c r="P25" s="108">
        <v>8</v>
      </c>
      <c r="Q25" s="106"/>
    </row>
    <row r="26" spans="1:17" ht="10.5" customHeight="1">
      <c r="A26" s="89"/>
      <c r="B26" s="90"/>
      <c r="C26" s="94">
        <v>81</v>
      </c>
      <c r="D26" s="81" t="s">
        <v>61</v>
      </c>
      <c r="E26" s="83">
        <v>1463</v>
      </c>
      <c r="F26" s="86">
        <v>14308</v>
      </c>
      <c r="G26" s="86">
        <v>98</v>
      </c>
      <c r="H26" s="86">
        <v>14276</v>
      </c>
      <c r="I26" s="110">
        <v>40</v>
      </c>
      <c r="J26" s="110">
        <v>15165</v>
      </c>
      <c r="K26" s="110">
        <v>47</v>
      </c>
      <c r="L26" s="110">
        <v>47</v>
      </c>
      <c r="M26" s="112">
        <v>16.690000000000001</v>
      </c>
      <c r="N26" s="114" t="s">
        <v>129</v>
      </c>
      <c r="O26" s="109">
        <v>81</v>
      </c>
      <c r="P26" s="105"/>
      <c r="Q26" s="106"/>
    </row>
    <row r="27" spans="1:17" ht="10.5" customHeight="1">
      <c r="A27" s="89"/>
      <c r="B27" s="90"/>
      <c r="C27" s="94">
        <v>82</v>
      </c>
      <c r="D27" s="81" t="s">
        <v>62</v>
      </c>
      <c r="E27" s="83">
        <v>295</v>
      </c>
      <c r="F27" s="86">
        <v>4136</v>
      </c>
      <c r="G27" s="86">
        <v>195</v>
      </c>
      <c r="H27" s="86">
        <v>3761</v>
      </c>
      <c r="I27" s="110">
        <v>172</v>
      </c>
      <c r="J27" s="110">
        <v>4200</v>
      </c>
      <c r="K27" s="110">
        <v>242</v>
      </c>
      <c r="L27" s="110">
        <v>242</v>
      </c>
      <c r="M27" s="112">
        <v>86.94</v>
      </c>
      <c r="N27" s="114" t="s">
        <v>130</v>
      </c>
      <c r="O27" s="109">
        <v>82</v>
      </c>
      <c r="P27" s="105"/>
      <c r="Q27" s="106"/>
    </row>
    <row r="28" spans="1:17" ht="10.5" customHeight="1">
      <c r="A28" s="89"/>
      <c r="B28" s="90"/>
      <c r="C28" s="94">
        <v>83</v>
      </c>
      <c r="D28" s="81" t="s">
        <v>63</v>
      </c>
      <c r="E28" s="83">
        <v>952</v>
      </c>
      <c r="F28" s="86">
        <v>7456</v>
      </c>
      <c r="G28" s="86">
        <v>207</v>
      </c>
      <c r="H28" s="86">
        <v>6716</v>
      </c>
      <c r="I28" s="110">
        <v>202</v>
      </c>
      <c r="J28" s="110">
        <v>6611</v>
      </c>
      <c r="K28" s="110">
        <v>284</v>
      </c>
      <c r="L28" s="110">
        <v>284</v>
      </c>
      <c r="M28" s="112">
        <v>20</v>
      </c>
      <c r="N28" s="114" t="s">
        <v>131</v>
      </c>
      <c r="O28" s="109">
        <v>83</v>
      </c>
      <c r="P28" s="105"/>
      <c r="Q28" s="106"/>
    </row>
    <row r="29" spans="1:17" ht="10.5" customHeight="1">
      <c r="A29" s="89"/>
      <c r="B29" s="90"/>
      <c r="C29" s="94">
        <v>84</v>
      </c>
      <c r="D29" s="81" t="s">
        <v>64</v>
      </c>
      <c r="E29" s="83">
        <v>226</v>
      </c>
      <c r="F29" s="86">
        <v>12838</v>
      </c>
      <c r="G29" s="86">
        <v>163</v>
      </c>
      <c r="H29" s="86">
        <v>12460</v>
      </c>
      <c r="I29" s="110">
        <v>162</v>
      </c>
      <c r="J29" s="110">
        <v>13952</v>
      </c>
      <c r="K29" s="110">
        <v>153</v>
      </c>
      <c r="L29" s="110">
        <v>153</v>
      </c>
      <c r="M29" s="112">
        <v>29.71</v>
      </c>
      <c r="N29" s="114" t="s">
        <v>132</v>
      </c>
      <c r="O29" s="109">
        <v>84</v>
      </c>
      <c r="P29" s="105"/>
      <c r="Q29" s="106"/>
    </row>
    <row r="30" spans="1:17" ht="10.5" customHeight="1">
      <c r="A30" s="89"/>
      <c r="B30" s="90"/>
      <c r="C30" s="94">
        <v>85</v>
      </c>
      <c r="D30" s="81" t="s">
        <v>65</v>
      </c>
      <c r="E30" s="83">
        <v>184</v>
      </c>
      <c r="F30" s="86">
        <v>8485</v>
      </c>
      <c r="G30" s="86">
        <v>1</v>
      </c>
      <c r="H30" s="86">
        <v>8079</v>
      </c>
      <c r="I30" s="110">
        <v>1</v>
      </c>
      <c r="J30" s="110">
        <v>8925</v>
      </c>
      <c r="K30" s="110">
        <v>1</v>
      </c>
      <c r="L30" s="110">
        <v>1</v>
      </c>
      <c r="M30" s="112">
        <v>-20.29</v>
      </c>
      <c r="N30" s="114" t="s">
        <v>133</v>
      </c>
      <c r="O30" s="109">
        <v>85</v>
      </c>
      <c r="P30" s="105"/>
      <c r="Q30" s="106"/>
    </row>
    <row r="31" spans="1:17" ht="20.100000000000001" customHeight="1">
      <c r="A31" s="89"/>
      <c r="B31" s="90"/>
      <c r="C31" s="94">
        <v>86</v>
      </c>
      <c r="D31" s="81" t="s">
        <v>66</v>
      </c>
      <c r="E31" s="83">
        <v>511</v>
      </c>
      <c r="F31" s="86">
        <v>6189</v>
      </c>
      <c r="G31" s="86">
        <v>12</v>
      </c>
      <c r="H31" s="86">
        <v>5798</v>
      </c>
      <c r="I31" s="110">
        <v>4</v>
      </c>
      <c r="J31" s="110">
        <v>6212</v>
      </c>
      <c r="K31" s="110">
        <v>4</v>
      </c>
      <c r="L31" s="110">
        <v>4</v>
      </c>
      <c r="M31" s="112">
        <v>-10.35</v>
      </c>
      <c r="N31" s="114" t="s">
        <v>134</v>
      </c>
      <c r="O31" s="109">
        <v>86</v>
      </c>
      <c r="P31" s="105"/>
      <c r="Q31" s="106"/>
    </row>
    <row r="32" spans="1:17" ht="10.5" customHeight="1">
      <c r="A32" s="89"/>
      <c r="B32" s="90"/>
      <c r="C32" s="94">
        <v>87</v>
      </c>
      <c r="D32" s="81" t="s">
        <v>67</v>
      </c>
      <c r="E32" s="83">
        <v>372</v>
      </c>
      <c r="F32" s="86">
        <v>30217</v>
      </c>
      <c r="G32" s="86">
        <v>75</v>
      </c>
      <c r="H32" s="86">
        <v>30856</v>
      </c>
      <c r="I32" s="110">
        <v>82</v>
      </c>
      <c r="J32" s="110">
        <v>42079</v>
      </c>
      <c r="K32" s="110">
        <v>91</v>
      </c>
      <c r="L32" s="110">
        <v>91</v>
      </c>
      <c r="M32" s="112">
        <v>73.760000000000005</v>
      </c>
      <c r="N32" s="114" t="s">
        <v>135</v>
      </c>
      <c r="O32" s="109">
        <v>87</v>
      </c>
      <c r="P32" s="105"/>
      <c r="Q32" s="106"/>
    </row>
    <row r="33" spans="1:17" ht="10.5" customHeight="1">
      <c r="A33" s="89"/>
      <c r="B33" s="90"/>
      <c r="C33" s="94">
        <v>89</v>
      </c>
      <c r="D33" s="81" t="s">
        <v>68</v>
      </c>
      <c r="E33" s="83">
        <v>5969</v>
      </c>
      <c r="F33" s="86">
        <v>50019</v>
      </c>
      <c r="G33" s="86">
        <v>932</v>
      </c>
      <c r="H33" s="86">
        <v>49739</v>
      </c>
      <c r="I33" s="110">
        <v>671</v>
      </c>
      <c r="J33" s="110">
        <v>55556</v>
      </c>
      <c r="K33" s="110">
        <v>1006</v>
      </c>
      <c r="L33" s="110">
        <v>1006</v>
      </c>
      <c r="M33" s="112">
        <v>-19.989999999999998</v>
      </c>
      <c r="N33" s="114" t="s">
        <v>136</v>
      </c>
      <c r="O33" s="109">
        <v>89</v>
      </c>
      <c r="P33" s="105"/>
      <c r="Q33" s="106"/>
    </row>
    <row r="34" spans="1:17" ht="10.5" customHeight="1">
      <c r="A34" s="89"/>
      <c r="B34" s="93">
        <v>9</v>
      </c>
      <c r="C34" s="91"/>
      <c r="D34" s="81" t="s">
        <v>69</v>
      </c>
      <c r="E34" s="83">
        <v>576</v>
      </c>
      <c r="F34" s="86">
        <v>12085</v>
      </c>
      <c r="G34" s="86">
        <v>97</v>
      </c>
      <c r="H34" s="86">
        <v>11368</v>
      </c>
      <c r="I34" s="110">
        <v>131</v>
      </c>
      <c r="J34" s="110">
        <v>10561</v>
      </c>
      <c r="K34" s="110">
        <v>138</v>
      </c>
      <c r="L34" s="110">
        <v>138</v>
      </c>
      <c r="M34" s="112">
        <v>24.1</v>
      </c>
      <c r="N34" s="114" t="s">
        <v>137</v>
      </c>
      <c r="O34" s="104"/>
      <c r="P34" s="108">
        <v>9</v>
      </c>
      <c r="Q34" s="106"/>
    </row>
    <row r="35" spans="1:17" ht="10.5" customHeight="1">
      <c r="A35" s="89"/>
      <c r="B35" s="90"/>
      <c r="C35" s="94">
        <v>91</v>
      </c>
      <c r="D35" s="81" t="s">
        <v>70</v>
      </c>
      <c r="E35" s="83">
        <v>272</v>
      </c>
      <c r="F35" s="86">
        <v>2445</v>
      </c>
      <c r="G35" s="86">
        <v>16</v>
      </c>
      <c r="H35" s="86">
        <v>2997</v>
      </c>
      <c r="I35" s="110">
        <v>11</v>
      </c>
      <c r="J35" s="110">
        <v>2272</v>
      </c>
      <c r="K35" s="110">
        <v>19</v>
      </c>
      <c r="L35" s="110">
        <v>19</v>
      </c>
      <c r="M35" s="112">
        <v>82.22</v>
      </c>
      <c r="N35" s="114" t="s">
        <v>138</v>
      </c>
      <c r="O35" s="109">
        <v>91</v>
      </c>
      <c r="P35" s="105"/>
      <c r="Q35" s="106"/>
    </row>
    <row r="36" spans="1:17" ht="10.5" customHeight="1">
      <c r="A36" s="89"/>
      <c r="B36" s="90"/>
      <c r="C36" s="94">
        <v>92</v>
      </c>
      <c r="D36" s="81" t="s">
        <v>71</v>
      </c>
      <c r="E36" s="83">
        <v>304</v>
      </c>
      <c r="F36" s="86">
        <v>9640</v>
      </c>
      <c r="G36" s="86">
        <v>81</v>
      </c>
      <c r="H36" s="86">
        <v>8370</v>
      </c>
      <c r="I36" s="110">
        <v>120</v>
      </c>
      <c r="J36" s="110">
        <v>8289</v>
      </c>
      <c r="K36" s="110">
        <v>119</v>
      </c>
      <c r="L36" s="110">
        <v>119</v>
      </c>
      <c r="M36" s="112">
        <v>17.989999999999998</v>
      </c>
      <c r="N36" s="114" t="s">
        <v>139</v>
      </c>
      <c r="O36" s="109">
        <v>92</v>
      </c>
      <c r="P36" s="105"/>
      <c r="Q36" s="106"/>
    </row>
    <row r="37" spans="1:17" ht="10.5" customHeight="1">
      <c r="A37" s="89"/>
      <c r="B37" s="93">
        <v>10</v>
      </c>
      <c r="C37" s="91"/>
      <c r="D37" s="81" t="s">
        <v>72</v>
      </c>
      <c r="E37" s="83">
        <v>8</v>
      </c>
      <c r="F37" s="86">
        <v>2694</v>
      </c>
      <c r="G37" s="88">
        <v>0</v>
      </c>
      <c r="H37" s="86">
        <v>2672</v>
      </c>
      <c r="I37" s="116">
        <v>0</v>
      </c>
      <c r="J37" s="110">
        <v>3744</v>
      </c>
      <c r="K37" s="116">
        <v>0</v>
      </c>
      <c r="L37" s="116">
        <v>0</v>
      </c>
      <c r="M37" s="117" t="s">
        <v>122</v>
      </c>
      <c r="N37" s="114" t="s">
        <v>140</v>
      </c>
      <c r="O37" s="104"/>
      <c r="P37" s="108">
        <v>10</v>
      </c>
      <c r="Q37" s="106"/>
    </row>
    <row r="38" spans="1:17" ht="10.5" customHeight="1">
      <c r="A38" s="89"/>
      <c r="B38" s="90"/>
      <c r="C38" s="94">
        <v>100</v>
      </c>
      <c r="D38" s="81" t="s">
        <v>73</v>
      </c>
      <c r="E38" s="83">
        <v>8</v>
      </c>
      <c r="F38" s="86">
        <v>2694</v>
      </c>
      <c r="G38" s="88">
        <v>0</v>
      </c>
      <c r="H38" s="86">
        <v>2672</v>
      </c>
      <c r="I38" s="116">
        <v>0</v>
      </c>
      <c r="J38" s="110">
        <v>3744</v>
      </c>
      <c r="K38" s="116">
        <v>0</v>
      </c>
      <c r="L38" s="116">
        <v>0</v>
      </c>
      <c r="M38" s="117" t="s">
        <v>122</v>
      </c>
      <c r="N38" s="114" t="s">
        <v>141</v>
      </c>
      <c r="O38" s="109">
        <v>100</v>
      </c>
      <c r="P38" s="105"/>
      <c r="Q38" s="106"/>
    </row>
    <row r="39" spans="1:17" ht="10.5" customHeight="1">
      <c r="A39" s="89"/>
      <c r="B39" s="93">
        <v>11</v>
      </c>
      <c r="C39" s="91"/>
      <c r="D39" s="81" t="s">
        <v>74</v>
      </c>
      <c r="E39" s="83">
        <v>4441</v>
      </c>
      <c r="F39" s="86">
        <v>51710</v>
      </c>
      <c r="G39" s="86">
        <v>14573</v>
      </c>
      <c r="H39" s="86">
        <v>48814</v>
      </c>
      <c r="I39" s="110">
        <v>8705</v>
      </c>
      <c r="J39" s="110">
        <v>91612</v>
      </c>
      <c r="K39" s="110">
        <v>9310</v>
      </c>
      <c r="L39" s="110">
        <v>9310</v>
      </c>
      <c r="M39" s="112">
        <v>33.07</v>
      </c>
      <c r="N39" s="114" t="s">
        <v>142</v>
      </c>
      <c r="O39" s="104"/>
      <c r="P39" s="108">
        <v>11</v>
      </c>
      <c r="Q39" s="106"/>
    </row>
    <row r="40" spans="1:17" ht="10.5" customHeight="1">
      <c r="A40" s="89"/>
      <c r="B40" s="90"/>
      <c r="C40" s="94">
        <v>111</v>
      </c>
      <c r="D40" s="81" t="s">
        <v>75</v>
      </c>
      <c r="E40" s="83">
        <v>561</v>
      </c>
      <c r="F40" s="86">
        <v>9952</v>
      </c>
      <c r="G40" s="86">
        <v>10427</v>
      </c>
      <c r="H40" s="86">
        <v>10008</v>
      </c>
      <c r="I40" s="110">
        <v>4514</v>
      </c>
      <c r="J40" s="110">
        <v>24536</v>
      </c>
      <c r="K40" s="110">
        <v>4708</v>
      </c>
      <c r="L40" s="110">
        <v>4708</v>
      </c>
      <c r="M40" s="112">
        <v>40.090000000000003</v>
      </c>
      <c r="N40" s="114" t="s">
        <v>143</v>
      </c>
      <c r="O40" s="109">
        <v>111</v>
      </c>
      <c r="P40" s="105"/>
      <c r="Q40" s="106"/>
    </row>
    <row r="41" spans="1:17" ht="10.5" customHeight="1">
      <c r="A41" s="89"/>
      <c r="B41" s="90"/>
      <c r="C41" s="94">
        <v>112</v>
      </c>
      <c r="D41" s="81" t="s">
        <v>76</v>
      </c>
      <c r="E41" s="83">
        <v>1510</v>
      </c>
      <c r="F41" s="86">
        <v>25403</v>
      </c>
      <c r="G41" s="86">
        <v>3036</v>
      </c>
      <c r="H41" s="86">
        <v>23123</v>
      </c>
      <c r="I41" s="110">
        <v>3086</v>
      </c>
      <c r="J41" s="110">
        <v>49802</v>
      </c>
      <c r="K41" s="110">
        <v>3368</v>
      </c>
      <c r="L41" s="110">
        <v>3368</v>
      </c>
      <c r="M41" s="112">
        <v>43.91</v>
      </c>
      <c r="N41" s="114" t="s">
        <v>144</v>
      </c>
      <c r="O41" s="109">
        <v>112</v>
      </c>
      <c r="P41" s="105"/>
      <c r="Q41" s="106"/>
    </row>
    <row r="42" spans="1:17" ht="10.5" customHeight="1">
      <c r="A42" s="89"/>
      <c r="B42" s="90"/>
      <c r="C42" s="94">
        <v>113</v>
      </c>
      <c r="D42" s="81" t="s">
        <v>77</v>
      </c>
      <c r="E42" s="83">
        <v>191</v>
      </c>
      <c r="F42" s="86">
        <v>3980</v>
      </c>
      <c r="G42" s="86">
        <v>419</v>
      </c>
      <c r="H42" s="86">
        <v>4178</v>
      </c>
      <c r="I42" s="110">
        <v>394</v>
      </c>
      <c r="J42" s="110">
        <v>4437</v>
      </c>
      <c r="K42" s="110">
        <v>449</v>
      </c>
      <c r="L42" s="110">
        <v>449</v>
      </c>
      <c r="M42" s="112">
        <v>19.77</v>
      </c>
      <c r="N42" s="114" t="s">
        <v>145</v>
      </c>
      <c r="O42" s="109">
        <v>113</v>
      </c>
      <c r="P42" s="105"/>
      <c r="Q42" s="106"/>
    </row>
    <row r="43" spans="1:17" ht="10.5" customHeight="1">
      <c r="A43" s="89"/>
      <c r="B43" s="90"/>
      <c r="C43" s="94">
        <v>114</v>
      </c>
      <c r="D43" s="81" t="s">
        <v>78</v>
      </c>
      <c r="E43" s="83">
        <v>450</v>
      </c>
      <c r="F43" s="86">
        <v>4923</v>
      </c>
      <c r="G43" s="86">
        <v>159</v>
      </c>
      <c r="H43" s="86">
        <v>4600</v>
      </c>
      <c r="I43" s="110">
        <v>199</v>
      </c>
      <c r="J43" s="110">
        <v>5094</v>
      </c>
      <c r="K43" s="110">
        <v>248</v>
      </c>
      <c r="L43" s="110">
        <v>248</v>
      </c>
      <c r="M43" s="112">
        <v>-55.88</v>
      </c>
      <c r="N43" s="114" t="s">
        <v>146</v>
      </c>
      <c r="O43" s="109">
        <v>114</v>
      </c>
      <c r="P43" s="105"/>
      <c r="Q43" s="106"/>
    </row>
    <row r="44" spans="1:17" ht="10.5" customHeight="1">
      <c r="A44" s="89"/>
      <c r="B44" s="90"/>
      <c r="C44" s="94">
        <v>115</v>
      </c>
      <c r="D44" s="81" t="s">
        <v>79</v>
      </c>
      <c r="E44" s="83">
        <v>1729</v>
      </c>
      <c r="F44" s="86">
        <v>7452</v>
      </c>
      <c r="G44" s="86">
        <v>532</v>
      </c>
      <c r="H44" s="86">
        <v>6904</v>
      </c>
      <c r="I44" s="110">
        <v>512</v>
      </c>
      <c r="J44" s="110">
        <v>7742</v>
      </c>
      <c r="K44" s="110">
        <v>537</v>
      </c>
      <c r="L44" s="110">
        <v>537</v>
      </c>
      <c r="M44" s="112">
        <v>50.27</v>
      </c>
      <c r="N44" s="114" t="s">
        <v>147</v>
      </c>
      <c r="O44" s="109">
        <v>115</v>
      </c>
      <c r="P44" s="105"/>
      <c r="Q44" s="106"/>
    </row>
    <row r="45" spans="1:17" ht="10.5" customHeight="1">
      <c r="A45" s="89"/>
      <c r="B45" s="93">
        <v>12</v>
      </c>
      <c r="C45" s="91"/>
      <c r="D45" s="81" t="s">
        <v>80</v>
      </c>
      <c r="E45" s="83">
        <v>3005</v>
      </c>
      <c r="F45" s="86">
        <v>7266</v>
      </c>
      <c r="G45" s="86">
        <v>1020</v>
      </c>
      <c r="H45" s="86">
        <v>7498</v>
      </c>
      <c r="I45" s="110">
        <v>780</v>
      </c>
      <c r="J45" s="110">
        <v>8811</v>
      </c>
      <c r="K45" s="110">
        <v>705</v>
      </c>
      <c r="L45" s="110">
        <v>705</v>
      </c>
      <c r="M45" s="112">
        <v>-11.69</v>
      </c>
      <c r="N45" s="114" t="s">
        <v>148</v>
      </c>
      <c r="O45" s="104"/>
      <c r="P45" s="108">
        <v>12</v>
      </c>
      <c r="Q45" s="106"/>
    </row>
    <row r="46" spans="1:17" ht="10.5" customHeight="1">
      <c r="A46" s="89"/>
      <c r="B46" s="90"/>
      <c r="C46" s="94">
        <v>121</v>
      </c>
      <c r="D46" s="81" t="s">
        <v>81</v>
      </c>
      <c r="E46" s="83">
        <v>2042</v>
      </c>
      <c r="F46" s="86">
        <v>4653</v>
      </c>
      <c r="G46" s="86">
        <v>700</v>
      </c>
      <c r="H46" s="86">
        <v>5216</v>
      </c>
      <c r="I46" s="110">
        <v>484</v>
      </c>
      <c r="J46" s="110">
        <v>5470</v>
      </c>
      <c r="K46" s="110">
        <v>438</v>
      </c>
      <c r="L46" s="110">
        <v>438</v>
      </c>
      <c r="M46" s="112">
        <v>8.43</v>
      </c>
      <c r="N46" s="114" t="s">
        <v>149</v>
      </c>
      <c r="O46" s="109">
        <v>121</v>
      </c>
      <c r="P46" s="105"/>
      <c r="Q46" s="106"/>
    </row>
    <row r="47" spans="1:17" ht="10.5" customHeight="1">
      <c r="A47" s="89"/>
      <c r="B47" s="90"/>
      <c r="C47" s="94">
        <v>123</v>
      </c>
      <c r="D47" s="81" t="s">
        <v>82</v>
      </c>
      <c r="E47" s="83">
        <v>963</v>
      </c>
      <c r="F47" s="86">
        <v>2613</v>
      </c>
      <c r="G47" s="86">
        <v>321</v>
      </c>
      <c r="H47" s="86">
        <v>2283</v>
      </c>
      <c r="I47" s="110">
        <v>296</v>
      </c>
      <c r="J47" s="110">
        <v>3341</v>
      </c>
      <c r="K47" s="110">
        <v>267</v>
      </c>
      <c r="L47" s="110">
        <v>267</v>
      </c>
      <c r="M47" s="112">
        <v>-32.299999999999997</v>
      </c>
      <c r="N47" s="114" t="s">
        <v>150</v>
      </c>
      <c r="O47" s="109">
        <v>123</v>
      </c>
      <c r="P47" s="105"/>
      <c r="Q47" s="106"/>
    </row>
    <row r="48" spans="1:17" ht="10.5" customHeight="1">
      <c r="A48" s="89"/>
      <c r="B48" s="93">
        <v>13</v>
      </c>
      <c r="C48" s="91"/>
      <c r="D48" s="81" t="s">
        <v>83</v>
      </c>
      <c r="E48" s="83">
        <v>1028</v>
      </c>
      <c r="F48" s="86">
        <v>5142</v>
      </c>
      <c r="G48" s="86">
        <v>1708</v>
      </c>
      <c r="H48" s="86">
        <v>4696</v>
      </c>
      <c r="I48" s="110">
        <v>1557</v>
      </c>
      <c r="J48" s="110">
        <v>16868</v>
      </c>
      <c r="K48" s="110">
        <v>1427</v>
      </c>
      <c r="L48" s="110">
        <v>1427</v>
      </c>
      <c r="M48" s="112">
        <v>-6.66</v>
      </c>
      <c r="N48" s="114" t="s">
        <v>151</v>
      </c>
      <c r="O48" s="104"/>
      <c r="P48" s="108">
        <v>13</v>
      </c>
      <c r="Q48" s="106"/>
    </row>
    <row r="49" spans="1:17" ht="10.5" customHeight="1">
      <c r="A49" s="89"/>
      <c r="B49" s="90"/>
      <c r="C49" s="94">
        <v>130</v>
      </c>
      <c r="D49" s="81" t="s">
        <v>84</v>
      </c>
      <c r="E49" s="83">
        <v>1028</v>
      </c>
      <c r="F49" s="86">
        <v>5142</v>
      </c>
      <c r="G49" s="86">
        <v>1708</v>
      </c>
      <c r="H49" s="86">
        <v>4696</v>
      </c>
      <c r="I49" s="110">
        <v>1557</v>
      </c>
      <c r="J49" s="110">
        <v>16868</v>
      </c>
      <c r="K49" s="110">
        <v>1427</v>
      </c>
      <c r="L49" s="110">
        <v>1427</v>
      </c>
      <c r="M49" s="112">
        <v>-6.66</v>
      </c>
      <c r="N49" s="114" t="s">
        <v>152</v>
      </c>
      <c r="O49" s="109">
        <v>130</v>
      </c>
      <c r="P49" s="105"/>
      <c r="Q49" s="106"/>
    </row>
    <row r="50" spans="1:17" ht="10.5" customHeight="1">
      <c r="A50" s="89"/>
      <c r="B50" s="93">
        <v>14</v>
      </c>
      <c r="C50" s="91"/>
      <c r="D50" s="81" t="s">
        <v>85</v>
      </c>
      <c r="E50" s="83">
        <v>2680</v>
      </c>
      <c r="F50" s="86">
        <v>9775</v>
      </c>
      <c r="G50" s="86">
        <v>94</v>
      </c>
      <c r="H50" s="86">
        <v>8886</v>
      </c>
      <c r="I50" s="110">
        <v>105</v>
      </c>
      <c r="J50" s="110">
        <v>10212</v>
      </c>
      <c r="K50" s="110">
        <v>130</v>
      </c>
      <c r="L50" s="110">
        <v>130</v>
      </c>
      <c r="M50" s="112">
        <v>32.92</v>
      </c>
      <c r="N50" s="114" t="s">
        <v>153</v>
      </c>
      <c r="O50" s="104"/>
      <c r="P50" s="108">
        <v>14</v>
      </c>
      <c r="Q50" s="106"/>
    </row>
    <row r="51" spans="1:17" ht="10.5" customHeight="1">
      <c r="A51" s="89"/>
      <c r="B51" s="90"/>
      <c r="C51" s="94">
        <v>140</v>
      </c>
      <c r="D51" s="81" t="s">
        <v>86</v>
      </c>
      <c r="E51" s="83">
        <v>2680</v>
      </c>
      <c r="F51" s="86">
        <v>9775</v>
      </c>
      <c r="G51" s="86">
        <v>94</v>
      </c>
      <c r="H51" s="86">
        <v>8886</v>
      </c>
      <c r="I51" s="110">
        <v>105</v>
      </c>
      <c r="J51" s="110">
        <v>10212</v>
      </c>
      <c r="K51" s="110">
        <v>130</v>
      </c>
      <c r="L51" s="110">
        <v>130</v>
      </c>
      <c r="M51" s="112">
        <v>32.92</v>
      </c>
      <c r="N51" s="114" t="s">
        <v>154</v>
      </c>
      <c r="O51" s="109">
        <v>140</v>
      </c>
      <c r="P51" s="105"/>
      <c r="Q51" s="106"/>
    </row>
    <row r="52" spans="1:17" ht="10.5" customHeight="1">
      <c r="A52" s="89"/>
      <c r="B52" s="93">
        <v>15</v>
      </c>
      <c r="C52" s="91"/>
      <c r="D52" s="81" t="s">
        <v>87</v>
      </c>
      <c r="E52" s="83">
        <v>2869</v>
      </c>
      <c r="F52" s="86">
        <v>33927</v>
      </c>
      <c r="G52" s="86">
        <v>621</v>
      </c>
      <c r="H52" s="86">
        <v>32973</v>
      </c>
      <c r="I52" s="110">
        <v>604</v>
      </c>
      <c r="J52" s="110">
        <v>35902</v>
      </c>
      <c r="K52" s="110">
        <v>820</v>
      </c>
      <c r="L52" s="110">
        <v>820</v>
      </c>
      <c r="M52" s="112">
        <v>44.68</v>
      </c>
      <c r="N52" s="114" t="s">
        <v>155</v>
      </c>
      <c r="O52" s="104"/>
      <c r="P52" s="108">
        <v>15</v>
      </c>
      <c r="Q52" s="106"/>
    </row>
    <row r="53" spans="1:17" ht="10.5" customHeight="1">
      <c r="A53" s="89"/>
      <c r="B53" s="90"/>
      <c r="C53" s="94">
        <v>151</v>
      </c>
      <c r="D53" s="81" t="s">
        <v>88</v>
      </c>
      <c r="E53" s="83">
        <v>299</v>
      </c>
      <c r="F53" s="86">
        <v>11017</v>
      </c>
      <c r="G53" s="86">
        <v>337</v>
      </c>
      <c r="H53" s="86">
        <v>10827</v>
      </c>
      <c r="I53" s="110">
        <v>371</v>
      </c>
      <c r="J53" s="110">
        <v>12124</v>
      </c>
      <c r="K53" s="110">
        <v>386</v>
      </c>
      <c r="L53" s="110">
        <v>386</v>
      </c>
      <c r="M53" s="112">
        <v>59.95</v>
      </c>
      <c r="N53" s="114" t="s">
        <v>156</v>
      </c>
      <c r="O53" s="109">
        <v>151</v>
      </c>
      <c r="P53" s="105"/>
      <c r="Q53" s="106"/>
    </row>
    <row r="54" spans="1:17" ht="10.5" customHeight="1">
      <c r="A54" s="89"/>
      <c r="B54" s="90"/>
      <c r="C54" s="94">
        <v>152</v>
      </c>
      <c r="D54" s="81" t="s">
        <v>89</v>
      </c>
      <c r="E54" s="83">
        <v>1949</v>
      </c>
      <c r="F54" s="86">
        <v>16967</v>
      </c>
      <c r="G54" s="86">
        <v>114</v>
      </c>
      <c r="H54" s="86">
        <v>16157</v>
      </c>
      <c r="I54" s="110">
        <v>122</v>
      </c>
      <c r="J54" s="110">
        <v>17597</v>
      </c>
      <c r="K54" s="110">
        <v>287</v>
      </c>
      <c r="L54" s="110">
        <v>287</v>
      </c>
      <c r="M54" s="112">
        <v>193.55</v>
      </c>
      <c r="N54" s="114" t="s">
        <v>157</v>
      </c>
      <c r="O54" s="109">
        <v>152</v>
      </c>
      <c r="P54" s="105"/>
      <c r="Q54" s="106"/>
    </row>
    <row r="55" spans="1:17" ht="10.5" customHeight="1">
      <c r="A55" s="89"/>
      <c r="B55" s="90"/>
      <c r="C55" s="94">
        <v>159</v>
      </c>
      <c r="D55" s="81" t="s">
        <v>90</v>
      </c>
      <c r="E55" s="83">
        <v>621</v>
      </c>
      <c r="F55" s="86">
        <v>5943</v>
      </c>
      <c r="G55" s="86">
        <v>170</v>
      </c>
      <c r="H55" s="86">
        <v>5988</v>
      </c>
      <c r="I55" s="110">
        <v>111</v>
      </c>
      <c r="J55" s="110">
        <v>6181</v>
      </c>
      <c r="K55" s="110">
        <v>147</v>
      </c>
      <c r="L55" s="110">
        <v>147</v>
      </c>
      <c r="M55" s="112">
        <v>-35.31</v>
      </c>
      <c r="N55" s="114" t="s">
        <v>158</v>
      </c>
      <c r="O55" s="109">
        <v>159</v>
      </c>
      <c r="P55" s="105"/>
      <c r="Q55" s="106"/>
    </row>
    <row r="56" spans="1:17" ht="10.5" customHeight="1">
      <c r="A56" s="89"/>
      <c r="B56" s="93">
        <v>16</v>
      </c>
      <c r="C56" s="91"/>
      <c r="D56" s="81" t="s">
        <v>91</v>
      </c>
      <c r="E56" s="83">
        <v>8014</v>
      </c>
      <c r="F56" s="86">
        <v>24752</v>
      </c>
      <c r="G56" s="86">
        <v>6113</v>
      </c>
      <c r="H56" s="86">
        <v>24100</v>
      </c>
      <c r="I56" s="110">
        <v>5970</v>
      </c>
      <c r="J56" s="110">
        <v>28199</v>
      </c>
      <c r="K56" s="110">
        <v>6338</v>
      </c>
      <c r="L56" s="110">
        <v>6338</v>
      </c>
      <c r="M56" s="112">
        <v>-8.3699999999999992</v>
      </c>
      <c r="N56" s="114" t="s">
        <v>159</v>
      </c>
      <c r="O56" s="104"/>
      <c r="P56" s="108">
        <v>16</v>
      </c>
      <c r="Q56" s="106"/>
    </row>
    <row r="57" spans="1:17" ht="10.5" customHeight="1">
      <c r="A57" s="89"/>
      <c r="B57" s="90"/>
      <c r="C57" s="94">
        <v>160</v>
      </c>
      <c r="D57" s="81" t="s">
        <v>92</v>
      </c>
      <c r="E57" s="83">
        <v>8014</v>
      </c>
      <c r="F57" s="86">
        <v>24752</v>
      </c>
      <c r="G57" s="86">
        <v>6113</v>
      </c>
      <c r="H57" s="86">
        <v>24100</v>
      </c>
      <c r="I57" s="110">
        <v>5970</v>
      </c>
      <c r="J57" s="110">
        <v>28199</v>
      </c>
      <c r="K57" s="110">
        <v>6338</v>
      </c>
      <c r="L57" s="110">
        <v>6338</v>
      </c>
      <c r="M57" s="112">
        <v>-8.3699999999999992</v>
      </c>
      <c r="N57" s="114" t="s">
        <v>160</v>
      </c>
      <c r="O57" s="109">
        <v>160</v>
      </c>
      <c r="P57" s="105"/>
      <c r="Q57" s="106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59" spans="1:17" s="2" customFormat="1" ht="21.95" customHeight="1">
      <c r="A59" s="64" t="str">
        <f>SUBSTITUTE(A62&amp;B62,CHAR(10),CHAR(10)&amp;"　　　　　")</f>
        <v>說　　明：本表資料分類自112年1月起改採「中華民國稅務行業標準分類(第9次修訂)」。</v>
      </c>
      <c r="B59" s="64"/>
      <c r="C59" s="64"/>
      <c r="D59" s="64"/>
      <c r="E59" s="65"/>
      <c r="F59" s="65"/>
      <c r="G59" s="65"/>
      <c r="H59" s="65"/>
      <c r="I59" s="66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China.</v>
      </c>
      <c r="J59" s="66"/>
      <c r="K59" s="66"/>
      <c r="L59" s="66"/>
      <c r="M59" s="66"/>
      <c r="N59" s="66"/>
      <c r="O59" s="66"/>
      <c r="P59" s="66"/>
      <c r="Q59" s="66"/>
    </row>
    <row r="60" spans="1:17" s="2" customFormat="1" ht="14.1" customHeight="1">
      <c r="A60" s="44" t="str">
        <f>A63&amp;B63</f>
        <v>附　　註：(D)表示不陳示數值以保護個別資料。</v>
      </c>
      <c r="B60" s="44"/>
      <c r="C60" s="44"/>
      <c r="D60" s="44"/>
      <c r="E60" s="45"/>
      <c r="F60" s="45"/>
      <c r="G60" s="45"/>
      <c r="H60" s="45"/>
      <c r="I60" s="46" t="str">
        <f>SUBSTITUTE(I63&amp;J63,CHAR(10),CHAR(10)&amp;"　　　　　　")</f>
        <v>Note：(D)The figures are replaced with asterisks due to a concern of privacy.</v>
      </c>
      <c r="J60" s="46"/>
      <c r="K60" s="46"/>
      <c r="L60" s="46"/>
      <c r="M60" s="46"/>
      <c r="N60" s="46"/>
      <c r="O60" s="46"/>
      <c r="P60" s="46"/>
      <c r="Q60" s="46"/>
    </row>
    <row r="61" spans="1:17" s="2" customFormat="1" ht="21.95" hidden="1" customHeight="1">
      <c r="A61" s="44" t="str">
        <f>A64&amp;B64</f>
        <v/>
      </c>
      <c r="B61" s="44"/>
      <c r="C61" s="44"/>
      <c r="D61" s="44"/>
      <c r="E61" s="45"/>
      <c r="F61" s="45"/>
      <c r="G61" s="45"/>
      <c r="H61" s="45"/>
      <c r="I61" s="46" t="str">
        <f>SUBSTITUTE(I64&amp;J64,CHAR(10),CHAR(10)&amp;"　　　　　　　　　  ")</f>
        <v/>
      </c>
      <c r="J61" s="46"/>
      <c r="K61" s="46"/>
      <c r="L61" s="46"/>
      <c r="M61" s="46"/>
      <c r="N61" s="46"/>
      <c r="O61" s="46"/>
      <c r="P61" s="46"/>
      <c r="Q61" s="46"/>
    </row>
    <row r="62" spans="1:17" ht="127.5" hidden="1">
      <c r="A62" s="80" t="s">
        <v>104</v>
      </c>
      <c r="B62" s="80" t="s">
        <v>43</v>
      </c>
      <c r="I62" s="102" t="s">
        <v>166</v>
      </c>
      <c r="J62" s="103" t="s">
        <v>109</v>
      </c>
    </row>
    <row r="63" spans="1:17" hidden="1">
      <c r="A63" s="80" t="s">
        <v>103</v>
      </c>
      <c r="B63" s="80" t="s">
        <v>42</v>
      </c>
      <c r="I63" s="102" t="s">
        <v>165</v>
      </c>
      <c r="J63" s="102" t="s">
        <v>108</v>
      </c>
    </row>
    <row r="64" spans="1:17" hidden="1">
      <c r="A64" s="34"/>
      <c r="I64" s="34"/>
    </row>
    <row r="65" ht="15" customHeight="1"/>
  </sheetData>
  <mergeCells count="18">
    <mergeCell ref="B3:B6"/>
    <mergeCell ref="C3:C6"/>
    <mergeCell ref="A59:H59"/>
    <mergeCell ref="I59:Q59"/>
    <mergeCell ref="D3:D6"/>
    <mergeCell ref="P3:P6"/>
    <mergeCell ref="O3:O6"/>
    <mergeCell ref="N3:N6"/>
    <mergeCell ref="A61:H61"/>
    <mergeCell ref="I61:Q61"/>
    <mergeCell ref="I60:Q60"/>
    <mergeCell ref="A60:H60"/>
    <mergeCell ref="I1:Q1"/>
    <mergeCell ref="A1:H1"/>
    <mergeCell ref="Q3:Q6"/>
    <mergeCell ref="F3:H3"/>
    <mergeCell ref="I3:M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221</v>
      </c>
      <c r="B1" s="48"/>
      <c r="C1" s="48"/>
      <c r="D1" s="48"/>
      <c r="E1" s="48"/>
      <c r="F1" s="48"/>
      <c r="G1" s="48"/>
      <c r="H1" s="48"/>
      <c r="I1" s="47" t="s">
        <v>273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9</v>
      </c>
      <c r="E3" s="21" t="s">
        <v>10</v>
      </c>
      <c r="F3" s="53" t="s">
        <v>11</v>
      </c>
      <c r="G3" s="54"/>
      <c r="H3" s="55"/>
      <c r="I3" s="78" t="s">
        <v>12</v>
      </c>
      <c r="J3" s="78"/>
      <c r="K3" s="78"/>
      <c r="L3" s="78"/>
      <c r="M3" s="79"/>
      <c r="N3" s="75" t="s">
        <v>13</v>
      </c>
      <c r="O3" s="74" t="s">
        <v>14</v>
      </c>
      <c r="P3" s="70" t="s">
        <v>15</v>
      </c>
      <c r="Q3" s="49" t="s">
        <v>16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8" t="s">
        <v>106</v>
      </c>
      <c r="L5" s="118" t="s">
        <v>167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3">
        <v>17</v>
      </c>
      <c r="C8" s="91"/>
      <c r="D8" s="81" t="s">
        <v>220</v>
      </c>
      <c r="E8" s="83">
        <v>194</v>
      </c>
      <c r="F8" s="86">
        <v>91956</v>
      </c>
      <c r="G8" s="86">
        <v>69099</v>
      </c>
      <c r="H8" s="86">
        <v>78868</v>
      </c>
      <c r="I8" s="110">
        <v>56688</v>
      </c>
      <c r="J8" s="110">
        <v>102455</v>
      </c>
      <c r="K8" s="110">
        <v>59929</v>
      </c>
      <c r="L8" s="110">
        <v>59929</v>
      </c>
      <c r="M8" s="112">
        <v>-10.1</v>
      </c>
      <c r="N8" s="114" t="s">
        <v>222</v>
      </c>
      <c r="O8" s="104"/>
      <c r="P8" s="108">
        <v>17</v>
      </c>
      <c r="Q8" s="106"/>
    </row>
    <row r="9" spans="1:17" ht="10.5" customHeight="1">
      <c r="A9" s="89"/>
      <c r="B9" s="93"/>
      <c r="C9" s="94">
        <v>170</v>
      </c>
      <c r="D9" s="81" t="s">
        <v>170</v>
      </c>
      <c r="E9" s="83">
        <v>194</v>
      </c>
      <c r="F9" s="86">
        <v>91956</v>
      </c>
      <c r="G9" s="86">
        <v>69099</v>
      </c>
      <c r="H9" s="86">
        <v>78868</v>
      </c>
      <c r="I9" s="110">
        <v>56688</v>
      </c>
      <c r="J9" s="110">
        <v>102455</v>
      </c>
      <c r="K9" s="110">
        <v>59929</v>
      </c>
      <c r="L9" s="110">
        <v>59929</v>
      </c>
      <c r="M9" s="112">
        <v>-10.1</v>
      </c>
      <c r="N9" s="114" t="s">
        <v>223</v>
      </c>
      <c r="O9" s="109">
        <v>170</v>
      </c>
      <c r="P9" s="108"/>
      <c r="Q9" s="106"/>
    </row>
    <row r="10" spans="1:17" ht="10.5" customHeight="1">
      <c r="A10" s="89"/>
      <c r="B10" s="93">
        <v>18</v>
      </c>
      <c r="C10" s="91"/>
      <c r="D10" s="81" t="s">
        <v>171</v>
      </c>
      <c r="E10" s="83">
        <v>1563</v>
      </c>
      <c r="F10" s="86">
        <v>130152</v>
      </c>
      <c r="G10" s="86">
        <v>44146</v>
      </c>
      <c r="H10" s="86">
        <v>138049</v>
      </c>
      <c r="I10" s="110">
        <v>44121</v>
      </c>
      <c r="J10" s="110">
        <v>160325</v>
      </c>
      <c r="K10" s="110">
        <v>42052</v>
      </c>
      <c r="L10" s="110">
        <v>42052</v>
      </c>
      <c r="M10" s="112">
        <v>0.65</v>
      </c>
      <c r="N10" s="114" t="s">
        <v>224</v>
      </c>
      <c r="O10" s="104"/>
      <c r="P10" s="108">
        <v>18</v>
      </c>
      <c r="Q10" s="106"/>
    </row>
    <row r="11" spans="1:17" ht="10.5" customHeight="1">
      <c r="A11" s="89"/>
      <c r="B11" s="93"/>
      <c r="C11" s="94">
        <v>181</v>
      </c>
      <c r="D11" s="81" t="s">
        <v>172</v>
      </c>
      <c r="E11" s="83">
        <v>694</v>
      </c>
      <c r="F11" s="86">
        <v>88944</v>
      </c>
      <c r="G11" s="86">
        <v>29278</v>
      </c>
      <c r="H11" s="86">
        <v>97888</v>
      </c>
      <c r="I11" s="110">
        <v>29417</v>
      </c>
      <c r="J11" s="110">
        <v>104555</v>
      </c>
      <c r="K11" s="110">
        <v>27470</v>
      </c>
      <c r="L11" s="110">
        <v>27470</v>
      </c>
      <c r="M11" s="112">
        <v>-4.6100000000000003</v>
      </c>
      <c r="N11" s="114" t="s">
        <v>225</v>
      </c>
      <c r="O11" s="109">
        <v>181</v>
      </c>
      <c r="P11" s="108"/>
      <c r="Q11" s="106"/>
    </row>
    <row r="12" spans="1:17" ht="10.5" customHeight="1">
      <c r="A12" s="89"/>
      <c r="B12" s="93"/>
      <c r="C12" s="94">
        <v>183</v>
      </c>
      <c r="D12" s="81" t="s">
        <v>173</v>
      </c>
      <c r="E12" s="83">
        <v>215</v>
      </c>
      <c r="F12" s="86">
        <v>1453</v>
      </c>
      <c r="G12" s="86">
        <v>1</v>
      </c>
      <c r="H12" s="86">
        <v>1525</v>
      </c>
      <c r="I12" s="110">
        <v>5</v>
      </c>
      <c r="J12" s="110">
        <v>1643</v>
      </c>
      <c r="K12" s="110">
        <v>1</v>
      </c>
      <c r="L12" s="110">
        <v>1</v>
      </c>
      <c r="M12" s="112">
        <v>6.63</v>
      </c>
      <c r="N12" s="114" t="s">
        <v>226</v>
      </c>
      <c r="O12" s="109">
        <v>183</v>
      </c>
      <c r="P12" s="108"/>
      <c r="Q12" s="106"/>
    </row>
    <row r="13" spans="1:17" ht="10.5" customHeight="1">
      <c r="A13" s="89"/>
      <c r="B13" s="93"/>
      <c r="C13" s="94">
        <v>184</v>
      </c>
      <c r="D13" s="81" t="s">
        <v>174</v>
      </c>
      <c r="E13" s="83">
        <v>597</v>
      </c>
      <c r="F13" s="86">
        <v>37576</v>
      </c>
      <c r="G13" s="86">
        <v>13255</v>
      </c>
      <c r="H13" s="86">
        <v>36341</v>
      </c>
      <c r="I13" s="110">
        <v>13420</v>
      </c>
      <c r="J13" s="110">
        <v>51400</v>
      </c>
      <c r="K13" s="110">
        <v>13203</v>
      </c>
      <c r="L13" s="110">
        <v>13203</v>
      </c>
      <c r="M13" s="112">
        <v>19.13</v>
      </c>
      <c r="N13" s="114" t="s">
        <v>227</v>
      </c>
      <c r="O13" s="109">
        <v>184</v>
      </c>
      <c r="P13" s="108"/>
      <c r="Q13" s="106"/>
    </row>
    <row r="14" spans="1:17" ht="10.5" customHeight="1">
      <c r="A14" s="89"/>
      <c r="B14" s="93"/>
      <c r="C14" s="94">
        <v>185</v>
      </c>
      <c r="D14" s="81" t="s">
        <v>175</v>
      </c>
      <c r="E14" s="83">
        <v>57</v>
      </c>
      <c r="F14" s="86">
        <v>2180</v>
      </c>
      <c r="G14" s="86">
        <v>1613</v>
      </c>
      <c r="H14" s="86">
        <v>2295</v>
      </c>
      <c r="I14" s="110">
        <v>1280</v>
      </c>
      <c r="J14" s="110">
        <v>2726</v>
      </c>
      <c r="K14" s="110">
        <v>1378</v>
      </c>
      <c r="L14" s="110">
        <v>1378</v>
      </c>
      <c r="M14" s="112">
        <v>-27.44</v>
      </c>
      <c r="N14" s="114" t="s">
        <v>228</v>
      </c>
      <c r="O14" s="109">
        <v>185</v>
      </c>
      <c r="P14" s="108"/>
      <c r="Q14" s="106"/>
    </row>
    <row r="15" spans="1:17" ht="10.5" customHeight="1">
      <c r="A15" s="89"/>
      <c r="B15" s="93">
        <v>19</v>
      </c>
      <c r="C15" s="91"/>
      <c r="D15" s="81" t="s">
        <v>176</v>
      </c>
      <c r="E15" s="83">
        <v>2564</v>
      </c>
      <c r="F15" s="86">
        <v>47602</v>
      </c>
      <c r="G15" s="86">
        <v>2317</v>
      </c>
      <c r="H15" s="86">
        <v>48034</v>
      </c>
      <c r="I15" s="110">
        <v>2279</v>
      </c>
      <c r="J15" s="110">
        <v>52956</v>
      </c>
      <c r="K15" s="110">
        <v>2425</v>
      </c>
      <c r="L15" s="110">
        <v>2425</v>
      </c>
      <c r="M15" s="112">
        <v>71.38</v>
      </c>
      <c r="N15" s="114" t="s">
        <v>229</v>
      </c>
      <c r="O15" s="104"/>
      <c r="P15" s="108">
        <v>19</v>
      </c>
      <c r="Q15" s="106"/>
    </row>
    <row r="16" spans="1:17" ht="10.5" customHeight="1">
      <c r="A16" s="89"/>
      <c r="B16" s="93"/>
      <c r="C16" s="94">
        <v>191</v>
      </c>
      <c r="D16" s="81" t="s">
        <v>177</v>
      </c>
      <c r="E16" s="83">
        <v>79</v>
      </c>
      <c r="F16" s="86">
        <v>3060</v>
      </c>
      <c r="G16" s="86">
        <v>343</v>
      </c>
      <c r="H16" s="86">
        <v>2279</v>
      </c>
      <c r="I16" s="110">
        <v>279</v>
      </c>
      <c r="J16" s="110">
        <v>2514</v>
      </c>
      <c r="K16" s="110">
        <v>417</v>
      </c>
      <c r="L16" s="110">
        <v>417</v>
      </c>
      <c r="M16" s="112">
        <v>61.08</v>
      </c>
      <c r="N16" s="114" t="s">
        <v>230</v>
      </c>
      <c r="O16" s="109">
        <v>191</v>
      </c>
      <c r="P16" s="108"/>
      <c r="Q16" s="106"/>
    </row>
    <row r="17" spans="1:17" ht="10.5" customHeight="1">
      <c r="A17" s="89"/>
      <c r="B17" s="93"/>
      <c r="C17" s="94">
        <v>192</v>
      </c>
      <c r="D17" s="81" t="s">
        <v>178</v>
      </c>
      <c r="E17" s="83">
        <v>482</v>
      </c>
      <c r="F17" s="86">
        <v>8037</v>
      </c>
      <c r="G17" s="86">
        <v>871</v>
      </c>
      <c r="H17" s="86">
        <v>8228</v>
      </c>
      <c r="I17" s="110">
        <v>908</v>
      </c>
      <c r="J17" s="110">
        <v>8869</v>
      </c>
      <c r="K17" s="110">
        <v>951</v>
      </c>
      <c r="L17" s="110">
        <v>951</v>
      </c>
      <c r="M17" s="112">
        <v>62.71</v>
      </c>
      <c r="N17" s="114" t="s">
        <v>231</v>
      </c>
      <c r="O17" s="109">
        <v>192</v>
      </c>
      <c r="P17" s="108"/>
      <c r="Q17" s="106"/>
    </row>
    <row r="18" spans="1:17" ht="10.5" customHeight="1">
      <c r="A18" s="89"/>
      <c r="B18" s="93"/>
      <c r="C18" s="94">
        <v>193</v>
      </c>
      <c r="D18" s="81" t="s">
        <v>179</v>
      </c>
      <c r="E18" s="83">
        <v>1323</v>
      </c>
      <c r="F18" s="86">
        <v>7921</v>
      </c>
      <c r="G18" s="86">
        <v>175</v>
      </c>
      <c r="H18" s="86">
        <v>7905</v>
      </c>
      <c r="I18" s="110">
        <v>146</v>
      </c>
      <c r="J18" s="110">
        <v>8845</v>
      </c>
      <c r="K18" s="110">
        <v>142</v>
      </c>
      <c r="L18" s="110">
        <v>142</v>
      </c>
      <c r="M18" s="112">
        <v>143.56</v>
      </c>
      <c r="N18" s="114" t="s">
        <v>232</v>
      </c>
      <c r="O18" s="109">
        <v>193</v>
      </c>
      <c r="P18" s="108"/>
      <c r="Q18" s="106"/>
    </row>
    <row r="19" spans="1:17" ht="10.5" customHeight="1">
      <c r="A19" s="89"/>
      <c r="B19" s="93"/>
      <c r="C19" s="94">
        <v>199</v>
      </c>
      <c r="D19" s="81" t="s">
        <v>180</v>
      </c>
      <c r="E19" s="83">
        <v>680</v>
      </c>
      <c r="F19" s="86">
        <v>28584</v>
      </c>
      <c r="G19" s="86">
        <v>928</v>
      </c>
      <c r="H19" s="86">
        <v>29622</v>
      </c>
      <c r="I19" s="110">
        <v>946</v>
      </c>
      <c r="J19" s="110">
        <v>32728</v>
      </c>
      <c r="K19" s="110">
        <v>915</v>
      </c>
      <c r="L19" s="110">
        <v>915</v>
      </c>
      <c r="M19" s="112">
        <v>78.260000000000005</v>
      </c>
      <c r="N19" s="114" t="s">
        <v>233</v>
      </c>
      <c r="O19" s="109">
        <v>199</v>
      </c>
      <c r="P19" s="108"/>
      <c r="Q19" s="106"/>
    </row>
    <row r="20" spans="1:17" ht="10.5" customHeight="1">
      <c r="A20" s="89"/>
      <c r="B20" s="93">
        <v>20</v>
      </c>
      <c r="C20" s="91"/>
      <c r="D20" s="81" t="s">
        <v>181</v>
      </c>
      <c r="E20" s="83">
        <v>400</v>
      </c>
      <c r="F20" s="86">
        <v>23176</v>
      </c>
      <c r="G20" s="86">
        <v>378</v>
      </c>
      <c r="H20" s="86">
        <v>21800</v>
      </c>
      <c r="I20" s="110">
        <v>304</v>
      </c>
      <c r="J20" s="110">
        <v>28882</v>
      </c>
      <c r="K20" s="110">
        <v>331</v>
      </c>
      <c r="L20" s="110">
        <v>331</v>
      </c>
      <c r="M20" s="112">
        <v>35.83</v>
      </c>
      <c r="N20" s="114" t="s">
        <v>234</v>
      </c>
      <c r="O20" s="104"/>
      <c r="P20" s="108">
        <v>20</v>
      </c>
      <c r="Q20" s="106"/>
    </row>
    <row r="21" spans="1:17" ht="20.100000000000001" customHeight="1">
      <c r="A21" s="89"/>
      <c r="B21" s="93"/>
      <c r="C21" s="94">
        <v>200</v>
      </c>
      <c r="D21" s="81" t="s">
        <v>182</v>
      </c>
      <c r="E21" s="83">
        <v>400</v>
      </c>
      <c r="F21" s="86">
        <v>23176</v>
      </c>
      <c r="G21" s="86">
        <v>378</v>
      </c>
      <c r="H21" s="86">
        <v>21800</v>
      </c>
      <c r="I21" s="110">
        <v>304</v>
      </c>
      <c r="J21" s="110">
        <v>28882</v>
      </c>
      <c r="K21" s="110">
        <v>331</v>
      </c>
      <c r="L21" s="110">
        <v>331</v>
      </c>
      <c r="M21" s="112">
        <v>35.83</v>
      </c>
      <c r="N21" s="114" t="s">
        <v>235</v>
      </c>
      <c r="O21" s="109">
        <v>200</v>
      </c>
      <c r="P21" s="108"/>
      <c r="Q21" s="106"/>
    </row>
    <row r="22" spans="1:17" ht="10.5" customHeight="1">
      <c r="A22" s="89"/>
      <c r="B22" s="93">
        <v>21</v>
      </c>
      <c r="C22" s="91"/>
      <c r="D22" s="81" t="s">
        <v>183</v>
      </c>
      <c r="E22" s="83">
        <v>1612</v>
      </c>
      <c r="F22" s="86">
        <v>19774</v>
      </c>
      <c r="G22" s="86">
        <v>5994</v>
      </c>
      <c r="H22" s="86">
        <v>19048</v>
      </c>
      <c r="I22" s="110">
        <v>6649</v>
      </c>
      <c r="J22" s="110">
        <v>28197</v>
      </c>
      <c r="K22" s="110">
        <v>5506</v>
      </c>
      <c r="L22" s="110">
        <v>5506</v>
      </c>
      <c r="M22" s="112">
        <v>17.309999999999999</v>
      </c>
      <c r="N22" s="114" t="s">
        <v>236</v>
      </c>
      <c r="O22" s="104"/>
      <c r="P22" s="108">
        <v>21</v>
      </c>
      <c r="Q22" s="106"/>
    </row>
    <row r="23" spans="1:17" ht="10.5" customHeight="1">
      <c r="A23" s="89"/>
      <c r="B23" s="93"/>
      <c r="C23" s="94">
        <v>210</v>
      </c>
      <c r="D23" s="81" t="s">
        <v>184</v>
      </c>
      <c r="E23" s="83">
        <v>1612</v>
      </c>
      <c r="F23" s="86">
        <v>19774</v>
      </c>
      <c r="G23" s="86">
        <v>5994</v>
      </c>
      <c r="H23" s="86">
        <v>19048</v>
      </c>
      <c r="I23" s="110">
        <v>6649</v>
      </c>
      <c r="J23" s="110">
        <v>28197</v>
      </c>
      <c r="K23" s="110">
        <v>5506</v>
      </c>
      <c r="L23" s="110">
        <v>5506</v>
      </c>
      <c r="M23" s="112">
        <v>17.309999999999999</v>
      </c>
      <c r="N23" s="114" t="s">
        <v>237</v>
      </c>
      <c r="O23" s="109">
        <v>210</v>
      </c>
      <c r="P23" s="108"/>
      <c r="Q23" s="106"/>
    </row>
    <row r="24" spans="1:17" ht="10.5" customHeight="1">
      <c r="A24" s="89"/>
      <c r="B24" s="93">
        <v>22</v>
      </c>
      <c r="C24" s="91"/>
      <c r="D24" s="81" t="s">
        <v>185</v>
      </c>
      <c r="E24" s="83">
        <v>9772</v>
      </c>
      <c r="F24" s="86">
        <v>65010</v>
      </c>
      <c r="G24" s="86">
        <v>4741</v>
      </c>
      <c r="H24" s="86">
        <v>63075</v>
      </c>
      <c r="I24" s="110">
        <v>4944</v>
      </c>
      <c r="J24" s="110">
        <v>69820</v>
      </c>
      <c r="K24" s="110">
        <v>4873</v>
      </c>
      <c r="L24" s="110">
        <v>4873</v>
      </c>
      <c r="M24" s="112">
        <v>18.61</v>
      </c>
      <c r="N24" s="114" t="s">
        <v>238</v>
      </c>
      <c r="O24" s="104"/>
      <c r="P24" s="108">
        <v>22</v>
      </c>
      <c r="Q24" s="106"/>
    </row>
    <row r="25" spans="1:17" ht="10.5" customHeight="1">
      <c r="A25" s="89"/>
      <c r="B25" s="93"/>
      <c r="C25" s="94">
        <v>220</v>
      </c>
      <c r="D25" s="81" t="s">
        <v>186</v>
      </c>
      <c r="E25" s="83">
        <v>9772</v>
      </c>
      <c r="F25" s="86">
        <v>65010</v>
      </c>
      <c r="G25" s="86">
        <v>4741</v>
      </c>
      <c r="H25" s="86">
        <v>63075</v>
      </c>
      <c r="I25" s="110">
        <v>4944</v>
      </c>
      <c r="J25" s="110">
        <v>69820</v>
      </c>
      <c r="K25" s="110">
        <v>4873</v>
      </c>
      <c r="L25" s="110">
        <v>4873</v>
      </c>
      <c r="M25" s="112">
        <v>18.61</v>
      </c>
      <c r="N25" s="114" t="s">
        <v>239</v>
      </c>
      <c r="O25" s="109">
        <v>220</v>
      </c>
      <c r="P25" s="108"/>
      <c r="Q25" s="106"/>
    </row>
    <row r="26" spans="1:17" ht="10.5" customHeight="1">
      <c r="A26" s="89"/>
      <c r="B26" s="93">
        <v>23</v>
      </c>
      <c r="C26" s="91"/>
      <c r="D26" s="81" t="s">
        <v>187</v>
      </c>
      <c r="E26" s="83">
        <v>3121</v>
      </c>
      <c r="F26" s="86">
        <v>63676</v>
      </c>
      <c r="G26" s="86">
        <v>2576</v>
      </c>
      <c r="H26" s="86">
        <v>61716</v>
      </c>
      <c r="I26" s="110">
        <v>3113</v>
      </c>
      <c r="J26" s="110">
        <v>83541</v>
      </c>
      <c r="K26" s="110">
        <v>2649</v>
      </c>
      <c r="L26" s="110">
        <v>2649</v>
      </c>
      <c r="M26" s="112">
        <v>46.18</v>
      </c>
      <c r="N26" s="114" t="s">
        <v>240</v>
      </c>
      <c r="O26" s="104"/>
      <c r="P26" s="108">
        <v>23</v>
      </c>
      <c r="Q26" s="106"/>
    </row>
    <row r="27" spans="1:17" ht="10.5" customHeight="1">
      <c r="A27" s="89"/>
      <c r="B27" s="93"/>
      <c r="C27" s="94">
        <v>231</v>
      </c>
      <c r="D27" s="81" t="s">
        <v>188</v>
      </c>
      <c r="E27" s="83">
        <v>513</v>
      </c>
      <c r="F27" s="86">
        <v>13117</v>
      </c>
      <c r="G27" s="86">
        <v>1929</v>
      </c>
      <c r="H27" s="86">
        <v>12401</v>
      </c>
      <c r="I27" s="110">
        <v>2424</v>
      </c>
      <c r="J27" s="110">
        <v>12891</v>
      </c>
      <c r="K27" s="110">
        <v>1845</v>
      </c>
      <c r="L27" s="110">
        <v>1845</v>
      </c>
      <c r="M27" s="112">
        <v>44.67</v>
      </c>
      <c r="N27" s="114" t="s">
        <v>241</v>
      </c>
      <c r="O27" s="109">
        <v>231</v>
      </c>
      <c r="P27" s="108"/>
      <c r="Q27" s="106"/>
    </row>
    <row r="28" spans="1:17" ht="20.100000000000001" customHeight="1">
      <c r="A28" s="89"/>
      <c r="B28" s="93"/>
      <c r="C28" s="94">
        <v>232</v>
      </c>
      <c r="D28" s="81" t="s">
        <v>189</v>
      </c>
      <c r="E28" s="83">
        <v>753</v>
      </c>
      <c r="F28" s="86">
        <v>6575</v>
      </c>
      <c r="G28" s="86">
        <v>124</v>
      </c>
      <c r="H28" s="86">
        <v>6231</v>
      </c>
      <c r="I28" s="110">
        <v>108</v>
      </c>
      <c r="J28" s="110">
        <v>7911</v>
      </c>
      <c r="K28" s="110">
        <v>136</v>
      </c>
      <c r="L28" s="110">
        <v>136</v>
      </c>
      <c r="M28" s="112">
        <v>74.489999999999995</v>
      </c>
      <c r="N28" s="114" t="s">
        <v>242</v>
      </c>
      <c r="O28" s="109">
        <v>232</v>
      </c>
      <c r="P28" s="108"/>
      <c r="Q28" s="106"/>
    </row>
    <row r="29" spans="1:17" ht="10.5" customHeight="1">
      <c r="A29" s="89"/>
      <c r="B29" s="93"/>
      <c r="C29" s="94">
        <v>233</v>
      </c>
      <c r="D29" s="81" t="s">
        <v>190</v>
      </c>
      <c r="E29" s="83">
        <v>892</v>
      </c>
      <c r="F29" s="86">
        <v>33869</v>
      </c>
      <c r="G29" s="86">
        <v>19</v>
      </c>
      <c r="H29" s="86">
        <v>33261</v>
      </c>
      <c r="I29" s="110">
        <v>5</v>
      </c>
      <c r="J29" s="110">
        <v>51429</v>
      </c>
      <c r="K29" s="110">
        <v>2</v>
      </c>
      <c r="L29" s="110">
        <v>2</v>
      </c>
      <c r="M29" s="112">
        <v>-56.1</v>
      </c>
      <c r="N29" s="114" t="s">
        <v>243</v>
      </c>
      <c r="O29" s="109">
        <v>233</v>
      </c>
      <c r="P29" s="108"/>
      <c r="Q29" s="106"/>
    </row>
    <row r="30" spans="1:17" ht="10.5" customHeight="1">
      <c r="A30" s="89"/>
      <c r="B30" s="93"/>
      <c r="C30" s="94">
        <v>234</v>
      </c>
      <c r="D30" s="81" t="s">
        <v>191</v>
      </c>
      <c r="E30" s="83">
        <v>517</v>
      </c>
      <c r="F30" s="86">
        <v>3289</v>
      </c>
      <c r="G30" s="86">
        <v>32</v>
      </c>
      <c r="H30" s="86">
        <v>2965</v>
      </c>
      <c r="I30" s="110">
        <v>42</v>
      </c>
      <c r="J30" s="110">
        <v>3695</v>
      </c>
      <c r="K30" s="110">
        <v>35</v>
      </c>
      <c r="L30" s="110">
        <v>35</v>
      </c>
      <c r="M30" s="112">
        <v>25.94</v>
      </c>
      <c r="N30" s="114" t="s">
        <v>244</v>
      </c>
      <c r="O30" s="109">
        <v>234</v>
      </c>
      <c r="P30" s="108"/>
      <c r="Q30" s="106"/>
    </row>
    <row r="31" spans="1:17" ht="10.5" customHeight="1">
      <c r="A31" s="89"/>
      <c r="B31" s="93"/>
      <c r="C31" s="94">
        <v>239</v>
      </c>
      <c r="D31" s="81" t="s">
        <v>192</v>
      </c>
      <c r="E31" s="83">
        <v>446</v>
      </c>
      <c r="F31" s="86">
        <v>6826</v>
      </c>
      <c r="G31" s="86">
        <v>471</v>
      </c>
      <c r="H31" s="86">
        <v>6858</v>
      </c>
      <c r="I31" s="110">
        <v>534</v>
      </c>
      <c r="J31" s="110">
        <v>7615</v>
      </c>
      <c r="K31" s="110">
        <v>631</v>
      </c>
      <c r="L31" s="110">
        <v>631</v>
      </c>
      <c r="M31" s="112">
        <v>47.72</v>
      </c>
      <c r="N31" s="114" t="s">
        <v>245</v>
      </c>
      <c r="O31" s="109">
        <v>239</v>
      </c>
      <c r="P31" s="108"/>
      <c r="Q31" s="106"/>
    </row>
    <row r="32" spans="1:17" ht="10.5" customHeight="1">
      <c r="A32" s="89"/>
      <c r="B32" s="93">
        <v>24</v>
      </c>
      <c r="C32" s="91"/>
      <c r="D32" s="81" t="s">
        <v>193</v>
      </c>
      <c r="E32" s="83">
        <v>6028</v>
      </c>
      <c r="F32" s="86">
        <v>200492</v>
      </c>
      <c r="G32" s="86">
        <v>19551</v>
      </c>
      <c r="H32" s="86">
        <v>195624</v>
      </c>
      <c r="I32" s="110">
        <v>17932</v>
      </c>
      <c r="J32" s="110">
        <v>248739</v>
      </c>
      <c r="K32" s="110">
        <v>20221</v>
      </c>
      <c r="L32" s="110">
        <v>20221</v>
      </c>
      <c r="M32" s="112">
        <v>59.01</v>
      </c>
      <c r="N32" s="114" t="s">
        <v>246</v>
      </c>
      <c r="O32" s="104"/>
      <c r="P32" s="108">
        <v>24</v>
      </c>
      <c r="Q32" s="106"/>
    </row>
    <row r="33" spans="1:17" ht="10.5" customHeight="1">
      <c r="A33" s="89"/>
      <c r="B33" s="93"/>
      <c r="C33" s="94">
        <v>241</v>
      </c>
      <c r="D33" s="81" t="s">
        <v>194</v>
      </c>
      <c r="E33" s="83">
        <v>3456</v>
      </c>
      <c r="F33" s="86">
        <v>154405</v>
      </c>
      <c r="G33" s="86">
        <v>8842</v>
      </c>
      <c r="H33" s="86">
        <v>151391</v>
      </c>
      <c r="I33" s="110">
        <v>7218</v>
      </c>
      <c r="J33" s="110">
        <v>174048</v>
      </c>
      <c r="K33" s="110">
        <v>9223</v>
      </c>
      <c r="L33" s="110">
        <v>9223</v>
      </c>
      <c r="M33" s="112">
        <v>7.74</v>
      </c>
      <c r="N33" s="114" t="s">
        <v>247</v>
      </c>
      <c r="O33" s="109">
        <v>241</v>
      </c>
      <c r="P33" s="108"/>
      <c r="Q33" s="106"/>
    </row>
    <row r="34" spans="1:17" ht="10.5" customHeight="1">
      <c r="A34" s="89"/>
      <c r="B34" s="93"/>
      <c r="C34" s="94">
        <v>242</v>
      </c>
      <c r="D34" s="81" t="s">
        <v>195</v>
      </c>
      <c r="E34" s="83">
        <v>891</v>
      </c>
      <c r="F34" s="86">
        <v>20754</v>
      </c>
      <c r="G34" s="86">
        <v>2491</v>
      </c>
      <c r="H34" s="86">
        <v>19380</v>
      </c>
      <c r="I34" s="110">
        <v>2228</v>
      </c>
      <c r="J34" s="110">
        <v>27687</v>
      </c>
      <c r="K34" s="110">
        <v>2384</v>
      </c>
      <c r="L34" s="110">
        <v>2384</v>
      </c>
      <c r="M34" s="112">
        <v>64.91</v>
      </c>
      <c r="N34" s="114" t="s">
        <v>248</v>
      </c>
      <c r="O34" s="109">
        <v>242</v>
      </c>
      <c r="P34" s="108"/>
      <c r="Q34" s="106"/>
    </row>
    <row r="35" spans="1:17" ht="10.5" customHeight="1">
      <c r="A35" s="89"/>
      <c r="B35" s="93"/>
      <c r="C35" s="94">
        <v>243</v>
      </c>
      <c r="D35" s="81" t="s">
        <v>196</v>
      </c>
      <c r="E35" s="83">
        <v>267</v>
      </c>
      <c r="F35" s="86">
        <v>13809</v>
      </c>
      <c r="G35" s="86">
        <v>6332</v>
      </c>
      <c r="H35" s="86">
        <v>13339</v>
      </c>
      <c r="I35" s="110">
        <v>6719</v>
      </c>
      <c r="J35" s="110">
        <v>33875</v>
      </c>
      <c r="K35" s="110">
        <v>6640</v>
      </c>
      <c r="L35" s="110">
        <v>6640</v>
      </c>
      <c r="M35" s="112">
        <v>552.52</v>
      </c>
      <c r="N35" s="114" t="s">
        <v>249</v>
      </c>
      <c r="O35" s="109">
        <v>243</v>
      </c>
      <c r="P35" s="108"/>
      <c r="Q35" s="106"/>
    </row>
    <row r="36" spans="1:17" ht="10.5" customHeight="1">
      <c r="A36" s="89"/>
      <c r="B36" s="93"/>
      <c r="C36" s="94">
        <v>249</v>
      </c>
      <c r="D36" s="81" t="s">
        <v>197</v>
      </c>
      <c r="E36" s="83">
        <v>1414</v>
      </c>
      <c r="F36" s="86">
        <v>11524</v>
      </c>
      <c r="G36" s="86">
        <v>1886</v>
      </c>
      <c r="H36" s="86">
        <v>11514</v>
      </c>
      <c r="I36" s="110">
        <v>1768</v>
      </c>
      <c r="J36" s="110">
        <v>13129</v>
      </c>
      <c r="K36" s="110">
        <v>1975</v>
      </c>
      <c r="L36" s="110">
        <v>1975</v>
      </c>
      <c r="M36" s="112">
        <v>16.559999999999999</v>
      </c>
      <c r="N36" s="114" t="s">
        <v>250</v>
      </c>
      <c r="O36" s="109">
        <v>249</v>
      </c>
      <c r="P36" s="108"/>
      <c r="Q36" s="106"/>
    </row>
    <row r="37" spans="1:17" ht="10.5" customHeight="1">
      <c r="A37" s="89"/>
      <c r="B37" s="93">
        <v>25</v>
      </c>
      <c r="C37" s="91"/>
      <c r="D37" s="81" t="s">
        <v>198</v>
      </c>
      <c r="E37" s="83">
        <v>38211</v>
      </c>
      <c r="F37" s="86">
        <v>215619</v>
      </c>
      <c r="G37" s="86">
        <v>15102</v>
      </c>
      <c r="H37" s="86">
        <v>192329</v>
      </c>
      <c r="I37" s="110">
        <v>16162</v>
      </c>
      <c r="J37" s="110">
        <v>268892</v>
      </c>
      <c r="K37" s="110">
        <v>17598</v>
      </c>
      <c r="L37" s="110">
        <v>17598</v>
      </c>
      <c r="M37" s="112">
        <v>33.51</v>
      </c>
      <c r="N37" s="114" t="s">
        <v>251</v>
      </c>
      <c r="O37" s="104"/>
      <c r="P37" s="108">
        <v>25</v>
      </c>
      <c r="Q37" s="106"/>
    </row>
    <row r="38" spans="1:17" ht="10.5" customHeight="1">
      <c r="A38" s="89"/>
      <c r="B38" s="93"/>
      <c r="C38" s="94">
        <v>251</v>
      </c>
      <c r="D38" s="81" t="s">
        <v>199</v>
      </c>
      <c r="E38" s="83">
        <v>14348</v>
      </c>
      <c r="F38" s="86">
        <v>54256</v>
      </c>
      <c r="G38" s="86">
        <v>5179</v>
      </c>
      <c r="H38" s="86">
        <v>49945</v>
      </c>
      <c r="I38" s="110">
        <v>5839</v>
      </c>
      <c r="J38" s="110">
        <v>59613</v>
      </c>
      <c r="K38" s="110">
        <v>5875</v>
      </c>
      <c r="L38" s="110">
        <v>5875</v>
      </c>
      <c r="M38" s="112">
        <v>43.41</v>
      </c>
      <c r="N38" s="114" t="s">
        <v>252</v>
      </c>
      <c r="O38" s="109">
        <v>251</v>
      </c>
      <c r="P38" s="108"/>
      <c r="Q38" s="106"/>
    </row>
    <row r="39" spans="1:17" ht="20.100000000000001" customHeight="1">
      <c r="A39" s="89"/>
      <c r="B39" s="93"/>
      <c r="C39" s="94">
        <v>252</v>
      </c>
      <c r="D39" s="81" t="s">
        <v>200</v>
      </c>
      <c r="E39" s="83">
        <v>4233</v>
      </c>
      <c r="F39" s="86">
        <v>21654</v>
      </c>
      <c r="G39" s="86">
        <v>169</v>
      </c>
      <c r="H39" s="86">
        <v>21533</v>
      </c>
      <c r="I39" s="110">
        <v>191</v>
      </c>
      <c r="J39" s="110">
        <v>25372</v>
      </c>
      <c r="K39" s="110">
        <v>756</v>
      </c>
      <c r="L39" s="110">
        <v>756</v>
      </c>
      <c r="M39" s="112">
        <v>270.93</v>
      </c>
      <c r="N39" s="114" t="s">
        <v>253</v>
      </c>
      <c r="O39" s="109">
        <v>252</v>
      </c>
      <c r="P39" s="108"/>
      <c r="Q39" s="106"/>
    </row>
    <row r="40" spans="1:17" ht="10.5" customHeight="1">
      <c r="A40" s="89"/>
      <c r="B40" s="93"/>
      <c r="C40" s="94">
        <v>253</v>
      </c>
      <c r="D40" s="81" t="s">
        <v>201</v>
      </c>
      <c r="E40" s="83">
        <v>501</v>
      </c>
      <c r="F40" s="86">
        <v>6128</v>
      </c>
      <c r="G40" s="86">
        <v>55</v>
      </c>
      <c r="H40" s="86">
        <v>5967</v>
      </c>
      <c r="I40" s="110">
        <v>70</v>
      </c>
      <c r="J40" s="110">
        <v>5879</v>
      </c>
      <c r="K40" s="110">
        <v>68</v>
      </c>
      <c r="L40" s="110">
        <v>68</v>
      </c>
      <c r="M40" s="112">
        <v>22.07</v>
      </c>
      <c r="N40" s="114" t="s">
        <v>254</v>
      </c>
      <c r="O40" s="109">
        <v>253</v>
      </c>
      <c r="P40" s="108"/>
      <c r="Q40" s="106"/>
    </row>
    <row r="41" spans="1:17" ht="10.5" customHeight="1">
      <c r="A41" s="89"/>
      <c r="B41" s="93"/>
      <c r="C41" s="94">
        <v>254</v>
      </c>
      <c r="D41" s="81" t="s">
        <v>202</v>
      </c>
      <c r="E41" s="83">
        <v>9180</v>
      </c>
      <c r="F41" s="86">
        <v>49302</v>
      </c>
      <c r="G41" s="86">
        <v>2930</v>
      </c>
      <c r="H41" s="86">
        <v>45808</v>
      </c>
      <c r="I41" s="110">
        <v>3167</v>
      </c>
      <c r="J41" s="110">
        <v>54959</v>
      </c>
      <c r="K41" s="110">
        <v>3428</v>
      </c>
      <c r="L41" s="110">
        <v>3428</v>
      </c>
      <c r="M41" s="112">
        <v>20.36</v>
      </c>
      <c r="N41" s="114" t="s">
        <v>255</v>
      </c>
      <c r="O41" s="109">
        <v>254</v>
      </c>
      <c r="P41" s="108"/>
      <c r="Q41" s="106"/>
    </row>
    <row r="42" spans="1:17" ht="10.5" customHeight="1">
      <c r="A42" s="89"/>
      <c r="B42" s="93"/>
      <c r="C42" s="94">
        <v>259</v>
      </c>
      <c r="D42" s="81" t="s">
        <v>203</v>
      </c>
      <c r="E42" s="83">
        <v>9949</v>
      </c>
      <c r="F42" s="86">
        <v>84280</v>
      </c>
      <c r="G42" s="86">
        <v>6770</v>
      </c>
      <c r="H42" s="86">
        <v>69077</v>
      </c>
      <c r="I42" s="110">
        <v>6895</v>
      </c>
      <c r="J42" s="110">
        <v>123070</v>
      </c>
      <c r="K42" s="110">
        <v>7471</v>
      </c>
      <c r="L42" s="110">
        <v>7471</v>
      </c>
      <c r="M42" s="112">
        <v>25</v>
      </c>
      <c r="N42" s="114" t="s">
        <v>256</v>
      </c>
      <c r="O42" s="109">
        <v>259</v>
      </c>
      <c r="P42" s="108"/>
      <c r="Q42" s="106"/>
    </row>
    <row r="43" spans="1:17" ht="10.5" customHeight="1">
      <c r="A43" s="89"/>
      <c r="B43" s="93">
        <v>26</v>
      </c>
      <c r="C43" s="91"/>
      <c r="D43" s="81" t="s">
        <v>204</v>
      </c>
      <c r="E43" s="83">
        <v>5804</v>
      </c>
      <c r="F43" s="86">
        <v>669148</v>
      </c>
      <c r="G43" s="86">
        <v>249061</v>
      </c>
      <c r="H43" s="86">
        <v>632154</v>
      </c>
      <c r="I43" s="110">
        <v>303807</v>
      </c>
      <c r="J43" s="110">
        <v>818757</v>
      </c>
      <c r="K43" s="110">
        <v>242171</v>
      </c>
      <c r="L43" s="110">
        <v>242171</v>
      </c>
      <c r="M43" s="112">
        <v>14.55</v>
      </c>
      <c r="N43" s="114" t="s">
        <v>257</v>
      </c>
      <c r="O43" s="104"/>
      <c r="P43" s="108">
        <v>26</v>
      </c>
      <c r="Q43" s="106"/>
    </row>
    <row r="44" spans="1:17" ht="10.5" customHeight="1">
      <c r="A44" s="89"/>
      <c r="B44" s="93"/>
      <c r="C44" s="94">
        <v>261</v>
      </c>
      <c r="D44" s="81" t="s">
        <v>205</v>
      </c>
      <c r="E44" s="83">
        <v>411</v>
      </c>
      <c r="F44" s="86">
        <v>411879</v>
      </c>
      <c r="G44" s="86">
        <v>198816</v>
      </c>
      <c r="H44" s="86">
        <v>372465</v>
      </c>
      <c r="I44" s="110">
        <v>252162</v>
      </c>
      <c r="J44" s="110">
        <v>499541</v>
      </c>
      <c r="K44" s="110">
        <v>176580</v>
      </c>
      <c r="L44" s="110">
        <v>176580</v>
      </c>
      <c r="M44" s="112">
        <v>3.34</v>
      </c>
      <c r="N44" s="114" t="s">
        <v>258</v>
      </c>
      <c r="O44" s="109">
        <v>261</v>
      </c>
      <c r="P44" s="108"/>
      <c r="Q44" s="106"/>
    </row>
    <row r="45" spans="1:17" ht="10.5" customHeight="1">
      <c r="A45" s="89"/>
      <c r="B45" s="93"/>
      <c r="C45" s="94">
        <v>262</v>
      </c>
      <c r="D45" s="81" t="s">
        <v>206</v>
      </c>
      <c r="E45" s="83">
        <v>262</v>
      </c>
      <c r="F45" s="86">
        <v>16356</v>
      </c>
      <c r="G45" s="86">
        <v>4671</v>
      </c>
      <c r="H45" s="86">
        <v>18102</v>
      </c>
      <c r="I45" s="110">
        <v>4663</v>
      </c>
      <c r="J45" s="110">
        <v>19583</v>
      </c>
      <c r="K45" s="110">
        <v>4897</v>
      </c>
      <c r="L45" s="110">
        <v>4897</v>
      </c>
      <c r="M45" s="112">
        <v>31.58</v>
      </c>
      <c r="N45" s="114" t="s">
        <v>259</v>
      </c>
      <c r="O45" s="109">
        <v>262</v>
      </c>
      <c r="P45" s="108"/>
      <c r="Q45" s="106"/>
    </row>
    <row r="46" spans="1:17" ht="10.5" customHeight="1">
      <c r="A46" s="89"/>
      <c r="B46" s="93"/>
      <c r="C46" s="94">
        <v>263</v>
      </c>
      <c r="D46" s="81" t="s">
        <v>207</v>
      </c>
      <c r="E46" s="83">
        <v>236</v>
      </c>
      <c r="F46" s="86">
        <v>13247</v>
      </c>
      <c r="G46" s="86">
        <v>3498</v>
      </c>
      <c r="H46" s="86">
        <v>13301</v>
      </c>
      <c r="I46" s="110">
        <v>3417</v>
      </c>
      <c r="J46" s="110">
        <v>15276</v>
      </c>
      <c r="K46" s="110">
        <v>19143</v>
      </c>
      <c r="L46" s="110">
        <v>19143</v>
      </c>
      <c r="M46" s="112">
        <v>1042.07</v>
      </c>
      <c r="N46" s="114" t="s">
        <v>260</v>
      </c>
      <c r="O46" s="109">
        <v>263</v>
      </c>
      <c r="P46" s="108"/>
      <c r="Q46" s="106"/>
    </row>
    <row r="47" spans="1:17" ht="10.5" customHeight="1">
      <c r="A47" s="89"/>
      <c r="B47" s="93"/>
      <c r="C47" s="94">
        <v>264</v>
      </c>
      <c r="D47" s="81" t="s">
        <v>208</v>
      </c>
      <c r="E47" s="83">
        <v>175</v>
      </c>
      <c r="F47" s="86">
        <v>38462</v>
      </c>
      <c r="G47" s="86">
        <v>4682</v>
      </c>
      <c r="H47" s="86">
        <v>35545</v>
      </c>
      <c r="I47" s="110">
        <v>4307</v>
      </c>
      <c r="J47" s="110">
        <v>36931</v>
      </c>
      <c r="K47" s="110">
        <v>4202</v>
      </c>
      <c r="L47" s="110">
        <v>4202</v>
      </c>
      <c r="M47" s="112">
        <v>1.98</v>
      </c>
      <c r="N47" s="114" t="s">
        <v>261</v>
      </c>
      <c r="O47" s="109">
        <v>264</v>
      </c>
      <c r="P47" s="108"/>
      <c r="Q47" s="106"/>
    </row>
    <row r="48" spans="1:17" ht="10.5" customHeight="1">
      <c r="A48" s="89"/>
      <c r="B48" s="93"/>
      <c r="C48" s="94">
        <v>269</v>
      </c>
      <c r="D48" s="81" t="s">
        <v>209</v>
      </c>
      <c r="E48" s="83">
        <v>4720</v>
      </c>
      <c r="F48" s="86">
        <v>189205</v>
      </c>
      <c r="G48" s="86">
        <v>37395</v>
      </c>
      <c r="H48" s="86">
        <v>192740</v>
      </c>
      <c r="I48" s="110">
        <v>39258</v>
      </c>
      <c r="J48" s="110">
        <v>247427</v>
      </c>
      <c r="K48" s="110">
        <v>37349</v>
      </c>
      <c r="L48" s="110">
        <v>37349</v>
      </c>
      <c r="M48" s="112">
        <v>20.41</v>
      </c>
      <c r="N48" s="114" t="s">
        <v>262</v>
      </c>
      <c r="O48" s="109">
        <v>269</v>
      </c>
      <c r="P48" s="108"/>
      <c r="Q48" s="106"/>
    </row>
    <row r="49" spans="1:17" ht="10.5" customHeight="1">
      <c r="A49" s="89"/>
      <c r="B49" s="93">
        <v>27</v>
      </c>
      <c r="C49" s="91"/>
      <c r="D49" s="81" t="s">
        <v>210</v>
      </c>
      <c r="E49" s="83">
        <v>2930</v>
      </c>
      <c r="F49" s="86">
        <v>205870</v>
      </c>
      <c r="G49" s="86">
        <v>78684</v>
      </c>
      <c r="H49" s="86">
        <v>220083</v>
      </c>
      <c r="I49" s="110">
        <v>71161</v>
      </c>
      <c r="J49" s="110">
        <v>261849</v>
      </c>
      <c r="K49" s="110">
        <v>81653</v>
      </c>
      <c r="L49" s="110">
        <v>81653</v>
      </c>
      <c r="M49" s="112">
        <v>98.67</v>
      </c>
      <c r="N49" s="114" t="s">
        <v>263</v>
      </c>
      <c r="O49" s="104"/>
      <c r="P49" s="108">
        <v>27</v>
      </c>
      <c r="Q49" s="106"/>
    </row>
    <row r="50" spans="1:17" ht="10.5" customHeight="1">
      <c r="A50" s="89"/>
      <c r="B50" s="93"/>
      <c r="C50" s="94">
        <v>271</v>
      </c>
      <c r="D50" s="81" t="s">
        <v>211</v>
      </c>
      <c r="E50" s="83">
        <v>718</v>
      </c>
      <c r="F50" s="86">
        <v>48630</v>
      </c>
      <c r="G50" s="86">
        <v>25141</v>
      </c>
      <c r="H50" s="86">
        <v>45029</v>
      </c>
      <c r="I50" s="110">
        <v>23728</v>
      </c>
      <c r="J50" s="110">
        <v>64581</v>
      </c>
      <c r="K50" s="110">
        <v>35993</v>
      </c>
      <c r="L50" s="110">
        <v>35993</v>
      </c>
      <c r="M50" s="112">
        <v>159.78</v>
      </c>
      <c r="N50" s="114" t="s">
        <v>264</v>
      </c>
      <c r="O50" s="109">
        <v>271</v>
      </c>
      <c r="P50" s="108"/>
      <c r="Q50" s="106"/>
    </row>
    <row r="51" spans="1:17" ht="10.5" customHeight="1">
      <c r="A51" s="89"/>
      <c r="B51" s="93"/>
      <c r="C51" s="94">
        <v>272</v>
      </c>
      <c r="D51" s="81" t="s">
        <v>212</v>
      </c>
      <c r="E51" s="83">
        <v>496</v>
      </c>
      <c r="F51" s="86">
        <v>90794</v>
      </c>
      <c r="G51" s="86">
        <v>40388</v>
      </c>
      <c r="H51" s="86">
        <v>106231</v>
      </c>
      <c r="I51" s="110">
        <v>33290</v>
      </c>
      <c r="J51" s="110">
        <v>101845</v>
      </c>
      <c r="K51" s="110">
        <v>33800</v>
      </c>
      <c r="L51" s="110">
        <v>33800</v>
      </c>
      <c r="M51" s="112">
        <v>78.02</v>
      </c>
      <c r="N51" s="114" t="s">
        <v>265</v>
      </c>
      <c r="O51" s="109">
        <v>272</v>
      </c>
      <c r="P51" s="108"/>
      <c r="Q51" s="106"/>
    </row>
    <row r="52" spans="1:17" ht="10.5" customHeight="1">
      <c r="A52" s="89"/>
      <c r="B52" s="93"/>
      <c r="C52" s="94">
        <v>273</v>
      </c>
      <c r="D52" s="81" t="s">
        <v>213</v>
      </c>
      <c r="E52" s="83">
        <v>671</v>
      </c>
      <c r="F52" s="86">
        <v>32624</v>
      </c>
      <c r="G52" s="86">
        <v>4586</v>
      </c>
      <c r="H52" s="86">
        <v>32909</v>
      </c>
      <c r="I52" s="110">
        <v>5529</v>
      </c>
      <c r="J52" s="110">
        <v>57746</v>
      </c>
      <c r="K52" s="110">
        <v>4336</v>
      </c>
      <c r="L52" s="110">
        <v>4336</v>
      </c>
      <c r="M52" s="112">
        <v>38.369999999999997</v>
      </c>
      <c r="N52" s="114" t="s">
        <v>266</v>
      </c>
      <c r="O52" s="109">
        <v>273</v>
      </c>
      <c r="P52" s="108"/>
      <c r="Q52" s="106"/>
    </row>
    <row r="53" spans="1:17" ht="10.5" customHeight="1">
      <c r="A53" s="89"/>
      <c r="B53" s="93"/>
      <c r="C53" s="94">
        <v>274</v>
      </c>
      <c r="D53" s="81" t="s">
        <v>214</v>
      </c>
      <c r="E53" s="83">
        <v>41</v>
      </c>
      <c r="F53" s="86">
        <v>2742</v>
      </c>
      <c r="G53" s="86">
        <v>1722</v>
      </c>
      <c r="H53" s="86">
        <v>2986</v>
      </c>
      <c r="I53" s="110">
        <v>1905</v>
      </c>
      <c r="J53" s="110">
        <v>3454</v>
      </c>
      <c r="K53" s="110">
        <v>1858</v>
      </c>
      <c r="L53" s="110">
        <v>1858</v>
      </c>
      <c r="M53" s="112">
        <v>30.28</v>
      </c>
      <c r="N53" s="114" t="s">
        <v>267</v>
      </c>
      <c r="O53" s="109">
        <v>274</v>
      </c>
      <c r="P53" s="108"/>
      <c r="Q53" s="106"/>
    </row>
    <row r="54" spans="1:17" ht="20.100000000000001" customHeight="1">
      <c r="A54" s="89"/>
      <c r="B54" s="93"/>
      <c r="C54" s="94">
        <v>275</v>
      </c>
      <c r="D54" s="81" t="s">
        <v>215</v>
      </c>
      <c r="E54" s="83">
        <v>539</v>
      </c>
      <c r="F54" s="86">
        <v>11725</v>
      </c>
      <c r="G54" s="86">
        <v>5125</v>
      </c>
      <c r="H54" s="86">
        <v>10574</v>
      </c>
      <c r="I54" s="110">
        <v>5081</v>
      </c>
      <c r="J54" s="110">
        <v>12166</v>
      </c>
      <c r="K54" s="110">
        <v>4152</v>
      </c>
      <c r="L54" s="110">
        <v>4152</v>
      </c>
      <c r="M54" s="112">
        <v>47.89</v>
      </c>
      <c r="N54" s="114" t="s">
        <v>268</v>
      </c>
      <c r="O54" s="109">
        <v>275</v>
      </c>
      <c r="P54" s="108"/>
      <c r="Q54" s="106"/>
    </row>
    <row r="55" spans="1:17" ht="10.5" customHeight="1">
      <c r="A55" s="89"/>
      <c r="B55" s="93"/>
      <c r="C55" s="94">
        <v>276</v>
      </c>
      <c r="D55" s="81" t="s">
        <v>216</v>
      </c>
      <c r="E55" s="83">
        <v>32</v>
      </c>
      <c r="F55" s="86">
        <v>1114</v>
      </c>
      <c r="G55" s="86">
        <v>42</v>
      </c>
      <c r="H55" s="86">
        <v>1051</v>
      </c>
      <c r="I55" s="110">
        <v>42</v>
      </c>
      <c r="J55" s="110">
        <v>1143</v>
      </c>
      <c r="K55" s="110">
        <v>29</v>
      </c>
      <c r="L55" s="110">
        <v>29</v>
      </c>
      <c r="M55" s="112">
        <v>50.28</v>
      </c>
      <c r="N55" s="114" t="s">
        <v>269</v>
      </c>
      <c r="O55" s="109">
        <v>276</v>
      </c>
      <c r="P55" s="108"/>
      <c r="Q55" s="106"/>
    </row>
    <row r="56" spans="1:17" ht="10.5" customHeight="1">
      <c r="A56" s="89"/>
      <c r="B56" s="93"/>
      <c r="C56" s="94">
        <v>277</v>
      </c>
      <c r="D56" s="81" t="s">
        <v>217</v>
      </c>
      <c r="E56" s="83">
        <v>433</v>
      </c>
      <c r="F56" s="86">
        <v>18240</v>
      </c>
      <c r="G56" s="86">
        <v>1681</v>
      </c>
      <c r="H56" s="86">
        <v>21303</v>
      </c>
      <c r="I56" s="110">
        <v>1587</v>
      </c>
      <c r="J56" s="110">
        <v>20913</v>
      </c>
      <c r="K56" s="110">
        <v>1482</v>
      </c>
      <c r="L56" s="110">
        <v>1482</v>
      </c>
      <c r="M56" s="112">
        <v>70.48</v>
      </c>
      <c r="N56" s="114" t="s">
        <v>270</v>
      </c>
      <c r="O56" s="109">
        <v>277</v>
      </c>
      <c r="P56" s="108"/>
      <c r="Q56" s="106"/>
    </row>
    <row r="57" spans="1:17" ht="10.5" customHeight="1">
      <c r="A57" s="89"/>
      <c r="B57" s="93">
        <v>28</v>
      </c>
      <c r="C57" s="91"/>
      <c r="D57" s="81" t="s">
        <v>218</v>
      </c>
      <c r="E57" s="83">
        <v>5508</v>
      </c>
      <c r="F57" s="86">
        <v>141827</v>
      </c>
      <c r="G57" s="86">
        <v>21985</v>
      </c>
      <c r="H57" s="86">
        <v>137857</v>
      </c>
      <c r="I57" s="110">
        <v>22667</v>
      </c>
      <c r="J57" s="110">
        <v>162181</v>
      </c>
      <c r="K57" s="110">
        <v>16757</v>
      </c>
      <c r="L57" s="110">
        <v>16757</v>
      </c>
      <c r="M57" s="112">
        <v>-6</v>
      </c>
      <c r="N57" s="114" t="s">
        <v>271</v>
      </c>
      <c r="O57" s="104"/>
      <c r="P57" s="108">
        <v>28</v>
      </c>
      <c r="Q57" s="106"/>
    </row>
    <row r="58" spans="1:17" ht="20.100000000000001" customHeight="1">
      <c r="A58" s="89"/>
      <c r="B58" s="93"/>
      <c r="C58" s="94">
        <v>281</v>
      </c>
      <c r="D58" s="81" t="s">
        <v>219</v>
      </c>
      <c r="E58" s="83">
        <v>2352</v>
      </c>
      <c r="F58" s="86">
        <v>73745</v>
      </c>
      <c r="G58" s="86">
        <v>1319</v>
      </c>
      <c r="H58" s="86">
        <v>71170</v>
      </c>
      <c r="I58" s="110">
        <v>1226</v>
      </c>
      <c r="J58" s="110">
        <v>76247</v>
      </c>
      <c r="K58" s="110">
        <v>1222</v>
      </c>
      <c r="L58" s="110">
        <v>1222</v>
      </c>
      <c r="M58" s="112">
        <v>3.26</v>
      </c>
      <c r="N58" s="114" t="s">
        <v>272</v>
      </c>
      <c r="O58" s="109">
        <v>281</v>
      </c>
      <c r="P58" s="108"/>
      <c r="Q58" s="106"/>
    </row>
    <row r="59" spans="1:17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11"/>
      <c r="M59" s="37"/>
      <c r="N59" s="39"/>
      <c r="O59" s="9"/>
      <c r="P59" s="9"/>
      <c r="Q59" s="7"/>
    </row>
    <row r="61" spans="1:17" ht="15" customHeight="1"/>
  </sheetData>
  <mergeCells count="12"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329</v>
      </c>
      <c r="B1" s="48"/>
      <c r="C1" s="48"/>
      <c r="D1" s="48"/>
      <c r="E1" s="48"/>
      <c r="F1" s="48"/>
      <c r="G1" s="48"/>
      <c r="H1" s="48"/>
      <c r="I1" s="47" t="s">
        <v>382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18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19</v>
      </c>
      <c r="E3" s="21" t="s">
        <v>20</v>
      </c>
      <c r="F3" s="53" t="s">
        <v>21</v>
      </c>
      <c r="G3" s="54"/>
      <c r="H3" s="55"/>
      <c r="I3" s="78" t="s">
        <v>22</v>
      </c>
      <c r="J3" s="78"/>
      <c r="K3" s="78"/>
      <c r="L3" s="78"/>
      <c r="M3" s="79"/>
      <c r="N3" s="75" t="s">
        <v>23</v>
      </c>
      <c r="O3" s="74" t="s">
        <v>24</v>
      </c>
      <c r="P3" s="70" t="s">
        <v>25</v>
      </c>
      <c r="Q3" s="49" t="s">
        <v>26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8" t="s">
        <v>106</v>
      </c>
      <c r="L5" s="118" t="s">
        <v>167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282</v>
      </c>
      <c r="D8" s="81" t="s">
        <v>328</v>
      </c>
      <c r="E8" s="83">
        <v>118</v>
      </c>
      <c r="F8" s="86">
        <v>6188</v>
      </c>
      <c r="G8" s="86">
        <v>1001</v>
      </c>
      <c r="H8" s="86">
        <v>5503</v>
      </c>
      <c r="I8" s="110">
        <v>932</v>
      </c>
      <c r="J8" s="110">
        <v>10871</v>
      </c>
      <c r="K8" s="110">
        <v>851</v>
      </c>
      <c r="L8" s="110">
        <v>851</v>
      </c>
      <c r="M8" s="112">
        <v>30.47</v>
      </c>
      <c r="N8" s="114" t="s">
        <v>330</v>
      </c>
      <c r="O8" s="109">
        <v>282</v>
      </c>
      <c r="P8" s="105"/>
      <c r="Q8" s="106"/>
    </row>
    <row r="9" spans="1:17" ht="10.5" customHeight="1">
      <c r="A9" s="89"/>
      <c r="B9" s="90"/>
      <c r="C9" s="94">
        <v>283</v>
      </c>
      <c r="D9" s="81" t="s">
        <v>274</v>
      </c>
      <c r="E9" s="83">
        <v>853</v>
      </c>
      <c r="F9" s="86">
        <v>25449</v>
      </c>
      <c r="G9" s="86">
        <v>9482</v>
      </c>
      <c r="H9" s="86">
        <v>24621</v>
      </c>
      <c r="I9" s="110">
        <v>10291</v>
      </c>
      <c r="J9" s="110">
        <v>28059</v>
      </c>
      <c r="K9" s="110">
        <v>9460</v>
      </c>
      <c r="L9" s="110">
        <v>9460</v>
      </c>
      <c r="M9" s="112">
        <v>16.04</v>
      </c>
      <c r="N9" s="114" t="s">
        <v>331</v>
      </c>
      <c r="O9" s="109">
        <v>283</v>
      </c>
      <c r="P9" s="105"/>
      <c r="Q9" s="106"/>
    </row>
    <row r="10" spans="1:17" ht="10.5" customHeight="1">
      <c r="A10" s="89"/>
      <c r="B10" s="90"/>
      <c r="C10" s="94">
        <v>284</v>
      </c>
      <c r="D10" s="81" t="s">
        <v>275</v>
      </c>
      <c r="E10" s="83">
        <v>715</v>
      </c>
      <c r="F10" s="86">
        <v>5231</v>
      </c>
      <c r="G10" s="86">
        <v>201</v>
      </c>
      <c r="H10" s="86">
        <v>4855</v>
      </c>
      <c r="I10" s="110">
        <v>195</v>
      </c>
      <c r="J10" s="110">
        <v>5710</v>
      </c>
      <c r="K10" s="110">
        <v>208</v>
      </c>
      <c r="L10" s="110">
        <v>208</v>
      </c>
      <c r="M10" s="112">
        <v>-11.99</v>
      </c>
      <c r="N10" s="114" t="s">
        <v>332</v>
      </c>
      <c r="O10" s="109">
        <v>284</v>
      </c>
      <c r="P10" s="105"/>
      <c r="Q10" s="106"/>
    </row>
    <row r="11" spans="1:17" ht="10.5" customHeight="1">
      <c r="A11" s="89"/>
      <c r="B11" s="90"/>
      <c r="C11" s="94">
        <v>285</v>
      </c>
      <c r="D11" s="81" t="s">
        <v>276</v>
      </c>
      <c r="E11" s="83">
        <v>952</v>
      </c>
      <c r="F11" s="86">
        <v>10935</v>
      </c>
      <c r="G11" s="86">
        <v>642</v>
      </c>
      <c r="H11" s="86">
        <v>10139</v>
      </c>
      <c r="I11" s="110">
        <v>724</v>
      </c>
      <c r="J11" s="110">
        <v>18826</v>
      </c>
      <c r="K11" s="110">
        <v>670</v>
      </c>
      <c r="L11" s="110">
        <v>670</v>
      </c>
      <c r="M11" s="112">
        <v>10.93</v>
      </c>
      <c r="N11" s="114" t="s">
        <v>333</v>
      </c>
      <c r="O11" s="109">
        <v>285</v>
      </c>
      <c r="P11" s="105"/>
      <c r="Q11" s="106"/>
    </row>
    <row r="12" spans="1:17" ht="10.5" customHeight="1">
      <c r="A12" s="89"/>
      <c r="B12" s="90"/>
      <c r="C12" s="94">
        <v>289</v>
      </c>
      <c r="D12" s="81" t="s">
        <v>277</v>
      </c>
      <c r="E12" s="83">
        <v>518</v>
      </c>
      <c r="F12" s="86">
        <v>20279</v>
      </c>
      <c r="G12" s="86">
        <v>9341</v>
      </c>
      <c r="H12" s="86">
        <v>21569</v>
      </c>
      <c r="I12" s="110">
        <v>9299</v>
      </c>
      <c r="J12" s="110">
        <v>22468</v>
      </c>
      <c r="K12" s="110">
        <v>4346</v>
      </c>
      <c r="L12" s="110">
        <v>4346</v>
      </c>
      <c r="M12" s="112">
        <v>-37.909999999999997</v>
      </c>
      <c r="N12" s="114" t="s">
        <v>334</v>
      </c>
      <c r="O12" s="109">
        <v>289</v>
      </c>
      <c r="P12" s="105"/>
      <c r="Q12" s="106"/>
    </row>
    <row r="13" spans="1:17" ht="10.5" customHeight="1">
      <c r="A13" s="89"/>
      <c r="B13" s="93">
        <v>29</v>
      </c>
      <c r="C13" s="94"/>
      <c r="D13" s="81" t="s">
        <v>278</v>
      </c>
      <c r="E13" s="83">
        <v>15816</v>
      </c>
      <c r="F13" s="86">
        <v>140908</v>
      </c>
      <c r="G13" s="86">
        <v>11827</v>
      </c>
      <c r="H13" s="86">
        <v>129829</v>
      </c>
      <c r="I13" s="110">
        <v>11980</v>
      </c>
      <c r="J13" s="110">
        <v>155171</v>
      </c>
      <c r="K13" s="110">
        <v>13336</v>
      </c>
      <c r="L13" s="110">
        <v>13336</v>
      </c>
      <c r="M13" s="112">
        <v>70.12</v>
      </c>
      <c r="N13" s="114" t="s">
        <v>335</v>
      </c>
      <c r="O13" s="109"/>
      <c r="P13" s="108">
        <v>29</v>
      </c>
      <c r="Q13" s="106"/>
    </row>
    <row r="14" spans="1:17" ht="10.5" customHeight="1">
      <c r="A14" s="89"/>
      <c r="B14" s="90"/>
      <c r="C14" s="94">
        <v>291</v>
      </c>
      <c r="D14" s="81" t="s">
        <v>279</v>
      </c>
      <c r="E14" s="83">
        <v>3480</v>
      </c>
      <c r="F14" s="86">
        <v>32930</v>
      </c>
      <c r="G14" s="86">
        <v>3219</v>
      </c>
      <c r="H14" s="86">
        <v>25725</v>
      </c>
      <c r="I14" s="110">
        <v>4946</v>
      </c>
      <c r="J14" s="110">
        <v>29424</v>
      </c>
      <c r="K14" s="110">
        <v>4270</v>
      </c>
      <c r="L14" s="110">
        <v>4270</v>
      </c>
      <c r="M14" s="112">
        <v>142.38999999999999</v>
      </c>
      <c r="N14" s="114" t="s">
        <v>336</v>
      </c>
      <c r="O14" s="109">
        <v>291</v>
      </c>
      <c r="P14" s="105"/>
      <c r="Q14" s="106"/>
    </row>
    <row r="15" spans="1:17" ht="10.5" customHeight="1">
      <c r="A15" s="89"/>
      <c r="B15" s="90"/>
      <c r="C15" s="94">
        <v>292</v>
      </c>
      <c r="D15" s="81" t="s">
        <v>280</v>
      </c>
      <c r="E15" s="83">
        <v>6113</v>
      </c>
      <c r="F15" s="86">
        <v>49556</v>
      </c>
      <c r="G15" s="86">
        <v>6138</v>
      </c>
      <c r="H15" s="86">
        <v>47920</v>
      </c>
      <c r="I15" s="110">
        <v>4696</v>
      </c>
      <c r="J15" s="110">
        <v>58741</v>
      </c>
      <c r="K15" s="110">
        <v>6710</v>
      </c>
      <c r="L15" s="110">
        <v>6710</v>
      </c>
      <c r="M15" s="112">
        <v>57.45</v>
      </c>
      <c r="N15" s="114" t="s">
        <v>337</v>
      </c>
      <c r="O15" s="109">
        <v>292</v>
      </c>
      <c r="P15" s="105"/>
      <c r="Q15" s="106"/>
    </row>
    <row r="16" spans="1:17" ht="10.5" customHeight="1">
      <c r="A16" s="89"/>
      <c r="B16" s="90"/>
      <c r="C16" s="94">
        <v>293</v>
      </c>
      <c r="D16" s="81" t="s">
        <v>281</v>
      </c>
      <c r="E16" s="83">
        <v>6223</v>
      </c>
      <c r="F16" s="86">
        <v>58422</v>
      </c>
      <c r="G16" s="86">
        <v>2470</v>
      </c>
      <c r="H16" s="86">
        <v>56183</v>
      </c>
      <c r="I16" s="110">
        <v>2338</v>
      </c>
      <c r="J16" s="110">
        <v>67006</v>
      </c>
      <c r="K16" s="110">
        <v>2356</v>
      </c>
      <c r="L16" s="110">
        <v>2356</v>
      </c>
      <c r="M16" s="112">
        <v>29.73</v>
      </c>
      <c r="N16" s="114" t="s">
        <v>338</v>
      </c>
      <c r="O16" s="109">
        <v>293</v>
      </c>
      <c r="P16" s="105"/>
      <c r="Q16" s="106"/>
    </row>
    <row r="17" spans="1:17" ht="10.5" customHeight="1">
      <c r="A17" s="89"/>
      <c r="B17" s="93">
        <v>30</v>
      </c>
      <c r="C17" s="94"/>
      <c r="D17" s="81" t="s">
        <v>282</v>
      </c>
      <c r="E17" s="83">
        <v>2134</v>
      </c>
      <c r="F17" s="86">
        <v>113404</v>
      </c>
      <c r="G17" s="86">
        <v>5084</v>
      </c>
      <c r="H17" s="86">
        <v>110498</v>
      </c>
      <c r="I17" s="110">
        <v>5014</v>
      </c>
      <c r="J17" s="110">
        <v>136151</v>
      </c>
      <c r="K17" s="110">
        <v>5184</v>
      </c>
      <c r="L17" s="110">
        <v>5184</v>
      </c>
      <c r="M17" s="112">
        <v>26.82</v>
      </c>
      <c r="N17" s="114" t="s">
        <v>339</v>
      </c>
      <c r="O17" s="109"/>
      <c r="P17" s="108">
        <v>30</v>
      </c>
      <c r="Q17" s="106"/>
    </row>
    <row r="18" spans="1:17" ht="10.5" customHeight="1">
      <c r="A18" s="89"/>
      <c r="B18" s="90"/>
      <c r="C18" s="94">
        <v>301</v>
      </c>
      <c r="D18" s="81" t="s">
        <v>283</v>
      </c>
      <c r="E18" s="83">
        <v>94</v>
      </c>
      <c r="F18" s="86">
        <v>40105</v>
      </c>
      <c r="G18" s="86">
        <v>736</v>
      </c>
      <c r="H18" s="86">
        <v>41387</v>
      </c>
      <c r="I18" s="110">
        <v>656</v>
      </c>
      <c r="J18" s="110">
        <v>49712</v>
      </c>
      <c r="K18" s="110">
        <v>619</v>
      </c>
      <c r="L18" s="110">
        <v>619</v>
      </c>
      <c r="M18" s="112">
        <v>-6.93</v>
      </c>
      <c r="N18" s="114" t="s">
        <v>340</v>
      </c>
      <c r="O18" s="109">
        <v>301</v>
      </c>
      <c r="P18" s="105"/>
      <c r="Q18" s="106"/>
    </row>
    <row r="19" spans="1:17" ht="10.5" customHeight="1">
      <c r="A19" s="89"/>
      <c r="B19" s="90"/>
      <c r="C19" s="94">
        <v>302</v>
      </c>
      <c r="D19" s="81" t="s">
        <v>284</v>
      </c>
      <c r="E19" s="83">
        <v>252</v>
      </c>
      <c r="F19" s="86">
        <v>37176</v>
      </c>
      <c r="G19" s="86">
        <v>0</v>
      </c>
      <c r="H19" s="86">
        <v>32286</v>
      </c>
      <c r="I19" s="116">
        <v>0</v>
      </c>
      <c r="J19" s="110">
        <v>42058</v>
      </c>
      <c r="K19" s="110">
        <v>2</v>
      </c>
      <c r="L19" s="110">
        <v>2</v>
      </c>
      <c r="M19" s="112">
        <v>-57.52</v>
      </c>
      <c r="N19" s="114" t="s">
        <v>341</v>
      </c>
      <c r="O19" s="109">
        <v>302</v>
      </c>
      <c r="P19" s="105"/>
      <c r="Q19" s="106"/>
    </row>
    <row r="20" spans="1:17" ht="10.5" customHeight="1">
      <c r="A20" s="89"/>
      <c r="B20" s="90"/>
      <c r="C20" s="94">
        <v>303</v>
      </c>
      <c r="D20" s="81" t="s">
        <v>285</v>
      </c>
      <c r="E20" s="83">
        <v>1788</v>
      </c>
      <c r="F20" s="86">
        <v>36123</v>
      </c>
      <c r="G20" s="86">
        <v>4347</v>
      </c>
      <c r="H20" s="86">
        <v>36825</v>
      </c>
      <c r="I20" s="110">
        <v>4358</v>
      </c>
      <c r="J20" s="110">
        <v>44381</v>
      </c>
      <c r="K20" s="110">
        <v>4563</v>
      </c>
      <c r="L20" s="110">
        <v>4563</v>
      </c>
      <c r="M20" s="112">
        <v>33.479999999999997</v>
      </c>
      <c r="N20" s="114" t="s">
        <v>342</v>
      </c>
      <c r="O20" s="109">
        <v>303</v>
      </c>
      <c r="P20" s="105"/>
      <c r="Q20" s="106"/>
    </row>
    <row r="21" spans="1:17" ht="10.5" customHeight="1">
      <c r="A21" s="89"/>
      <c r="B21" s="93">
        <v>31</v>
      </c>
      <c r="C21" s="94"/>
      <c r="D21" s="81" t="s">
        <v>286</v>
      </c>
      <c r="E21" s="83">
        <v>2120</v>
      </c>
      <c r="F21" s="86">
        <v>56776</v>
      </c>
      <c r="G21" s="86">
        <v>6950</v>
      </c>
      <c r="H21" s="86">
        <v>46910</v>
      </c>
      <c r="I21" s="110">
        <v>10761</v>
      </c>
      <c r="J21" s="110">
        <v>57385</v>
      </c>
      <c r="K21" s="110">
        <v>4169</v>
      </c>
      <c r="L21" s="110">
        <v>4169</v>
      </c>
      <c r="M21" s="112">
        <v>-40.799999999999997</v>
      </c>
      <c r="N21" s="114" t="s">
        <v>343</v>
      </c>
      <c r="O21" s="109"/>
      <c r="P21" s="108">
        <v>31</v>
      </c>
      <c r="Q21" s="106"/>
    </row>
    <row r="22" spans="1:17" ht="10.5" customHeight="1">
      <c r="A22" s="89"/>
      <c r="B22" s="90"/>
      <c r="C22" s="94">
        <v>311</v>
      </c>
      <c r="D22" s="81" t="s">
        <v>287</v>
      </c>
      <c r="E22" s="83">
        <v>251</v>
      </c>
      <c r="F22" s="86">
        <v>10458</v>
      </c>
      <c r="G22" s="86">
        <v>2100</v>
      </c>
      <c r="H22" s="86">
        <v>7431</v>
      </c>
      <c r="I22" s="110">
        <v>6496</v>
      </c>
      <c r="J22" s="110">
        <v>9209</v>
      </c>
      <c r="K22" s="110">
        <v>-249</v>
      </c>
      <c r="L22" s="110">
        <v>-249</v>
      </c>
      <c r="M22" s="117" t="s">
        <v>122</v>
      </c>
      <c r="N22" s="114" t="s">
        <v>344</v>
      </c>
      <c r="O22" s="109">
        <v>311</v>
      </c>
      <c r="P22" s="105"/>
      <c r="Q22" s="106"/>
    </row>
    <row r="23" spans="1:17" ht="10.5" customHeight="1">
      <c r="A23" s="89"/>
      <c r="B23" s="90"/>
      <c r="C23" s="94">
        <v>312</v>
      </c>
      <c r="D23" s="81" t="s">
        <v>288</v>
      </c>
      <c r="E23" s="83">
        <v>525</v>
      </c>
      <c r="F23" s="86">
        <v>14320</v>
      </c>
      <c r="G23" s="86">
        <v>752</v>
      </c>
      <c r="H23" s="86">
        <v>13210</v>
      </c>
      <c r="I23" s="110">
        <v>608</v>
      </c>
      <c r="J23" s="110">
        <v>15386</v>
      </c>
      <c r="K23" s="110">
        <v>666</v>
      </c>
      <c r="L23" s="110">
        <v>666</v>
      </c>
      <c r="M23" s="112">
        <v>2.0699999999999998</v>
      </c>
      <c r="N23" s="114" t="s">
        <v>345</v>
      </c>
      <c r="O23" s="109">
        <v>312</v>
      </c>
      <c r="P23" s="105"/>
      <c r="Q23" s="106"/>
    </row>
    <row r="24" spans="1:17" ht="10.5" customHeight="1">
      <c r="A24" s="89"/>
      <c r="B24" s="90"/>
      <c r="C24" s="94">
        <v>313</v>
      </c>
      <c r="D24" s="81" t="s">
        <v>289</v>
      </c>
      <c r="E24" s="83">
        <v>1005</v>
      </c>
      <c r="F24" s="86">
        <v>24296</v>
      </c>
      <c r="G24" s="86">
        <v>3840</v>
      </c>
      <c r="H24" s="86">
        <v>18955</v>
      </c>
      <c r="I24" s="110">
        <v>3371</v>
      </c>
      <c r="J24" s="110">
        <v>23490</v>
      </c>
      <c r="K24" s="110">
        <v>3433</v>
      </c>
      <c r="L24" s="110">
        <v>3433</v>
      </c>
      <c r="M24" s="112">
        <v>-28.41</v>
      </c>
      <c r="N24" s="114" t="s">
        <v>346</v>
      </c>
      <c r="O24" s="109">
        <v>313</v>
      </c>
      <c r="P24" s="105"/>
      <c r="Q24" s="106"/>
    </row>
    <row r="25" spans="1:17" ht="20.100000000000001" customHeight="1">
      <c r="A25" s="89"/>
      <c r="B25" s="90"/>
      <c r="C25" s="94">
        <v>319</v>
      </c>
      <c r="D25" s="81" t="s">
        <v>290</v>
      </c>
      <c r="E25" s="83">
        <v>339</v>
      </c>
      <c r="F25" s="86">
        <v>7701</v>
      </c>
      <c r="G25" s="86">
        <v>258</v>
      </c>
      <c r="H25" s="86">
        <v>7314</v>
      </c>
      <c r="I25" s="110">
        <v>285</v>
      </c>
      <c r="J25" s="110">
        <v>9301</v>
      </c>
      <c r="K25" s="110">
        <v>318</v>
      </c>
      <c r="L25" s="110">
        <v>318</v>
      </c>
      <c r="M25" s="112">
        <v>74.459999999999994</v>
      </c>
      <c r="N25" s="114" t="s">
        <v>347</v>
      </c>
      <c r="O25" s="109">
        <v>319</v>
      </c>
      <c r="P25" s="105"/>
      <c r="Q25" s="106"/>
    </row>
    <row r="26" spans="1:17" ht="10.5" customHeight="1">
      <c r="A26" s="89"/>
      <c r="B26" s="93">
        <v>32</v>
      </c>
      <c r="C26" s="94"/>
      <c r="D26" s="81" t="s">
        <v>291</v>
      </c>
      <c r="E26" s="83">
        <v>2227</v>
      </c>
      <c r="F26" s="86">
        <v>12080</v>
      </c>
      <c r="G26" s="86">
        <v>1589</v>
      </c>
      <c r="H26" s="86">
        <v>11337</v>
      </c>
      <c r="I26" s="110">
        <v>1747</v>
      </c>
      <c r="J26" s="110">
        <v>15927</v>
      </c>
      <c r="K26" s="110">
        <v>1844</v>
      </c>
      <c r="L26" s="110">
        <v>1844</v>
      </c>
      <c r="M26" s="112">
        <v>40.18</v>
      </c>
      <c r="N26" s="114" t="s">
        <v>348</v>
      </c>
      <c r="O26" s="109"/>
      <c r="P26" s="108">
        <v>32</v>
      </c>
      <c r="Q26" s="106"/>
    </row>
    <row r="27" spans="1:17" ht="10.5" customHeight="1">
      <c r="A27" s="89"/>
      <c r="B27" s="90"/>
      <c r="C27" s="94">
        <v>321</v>
      </c>
      <c r="D27" s="81" t="s">
        <v>292</v>
      </c>
      <c r="E27" s="83">
        <v>1570</v>
      </c>
      <c r="F27" s="86">
        <v>5988</v>
      </c>
      <c r="G27" s="86">
        <v>169</v>
      </c>
      <c r="H27" s="86">
        <v>5694</v>
      </c>
      <c r="I27" s="110">
        <v>199</v>
      </c>
      <c r="J27" s="110">
        <v>6653</v>
      </c>
      <c r="K27" s="110">
        <v>177</v>
      </c>
      <c r="L27" s="110">
        <v>177</v>
      </c>
      <c r="M27" s="112">
        <v>-5.94</v>
      </c>
      <c r="N27" s="114" t="s">
        <v>349</v>
      </c>
      <c r="O27" s="109">
        <v>321</v>
      </c>
      <c r="P27" s="105"/>
      <c r="Q27" s="106"/>
    </row>
    <row r="28" spans="1:17" ht="10.5" customHeight="1">
      <c r="A28" s="89"/>
      <c r="B28" s="90"/>
      <c r="C28" s="94">
        <v>322</v>
      </c>
      <c r="D28" s="81" t="s">
        <v>293</v>
      </c>
      <c r="E28" s="83">
        <v>657</v>
      </c>
      <c r="F28" s="86">
        <v>6091</v>
      </c>
      <c r="G28" s="86">
        <v>1420</v>
      </c>
      <c r="H28" s="86">
        <v>5643</v>
      </c>
      <c r="I28" s="110">
        <v>1548</v>
      </c>
      <c r="J28" s="110">
        <v>9274</v>
      </c>
      <c r="K28" s="110">
        <v>1667</v>
      </c>
      <c r="L28" s="110">
        <v>1667</v>
      </c>
      <c r="M28" s="112">
        <v>47.87</v>
      </c>
      <c r="N28" s="114" t="s">
        <v>350</v>
      </c>
      <c r="O28" s="109">
        <v>322</v>
      </c>
      <c r="P28" s="105"/>
      <c r="Q28" s="106"/>
    </row>
    <row r="29" spans="1:17" ht="10.5" customHeight="1">
      <c r="A29" s="89"/>
      <c r="B29" s="93">
        <v>33</v>
      </c>
      <c r="C29" s="94"/>
      <c r="D29" s="81" t="s">
        <v>294</v>
      </c>
      <c r="E29" s="83">
        <v>3923</v>
      </c>
      <c r="F29" s="86">
        <v>48490</v>
      </c>
      <c r="G29" s="86">
        <v>3871</v>
      </c>
      <c r="H29" s="86">
        <v>43795</v>
      </c>
      <c r="I29" s="110">
        <v>4567</v>
      </c>
      <c r="J29" s="110">
        <v>41970</v>
      </c>
      <c r="K29" s="110">
        <v>3396</v>
      </c>
      <c r="L29" s="110">
        <v>3396</v>
      </c>
      <c r="M29" s="112">
        <v>-8.08</v>
      </c>
      <c r="N29" s="114" t="s">
        <v>351</v>
      </c>
      <c r="O29" s="109"/>
      <c r="P29" s="108">
        <v>33</v>
      </c>
      <c r="Q29" s="106"/>
    </row>
    <row r="30" spans="1:17" ht="10.5" customHeight="1">
      <c r="A30" s="89"/>
      <c r="B30" s="90"/>
      <c r="C30" s="94">
        <v>331</v>
      </c>
      <c r="D30" s="81" t="s">
        <v>295</v>
      </c>
      <c r="E30" s="83">
        <v>1175</v>
      </c>
      <c r="F30" s="86">
        <v>8959</v>
      </c>
      <c r="G30" s="86">
        <v>1758</v>
      </c>
      <c r="H30" s="86">
        <v>7990</v>
      </c>
      <c r="I30" s="110">
        <v>1750</v>
      </c>
      <c r="J30" s="110">
        <v>8580</v>
      </c>
      <c r="K30" s="110">
        <v>1662</v>
      </c>
      <c r="L30" s="110">
        <v>1662</v>
      </c>
      <c r="M30" s="112">
        <v>-15.03</v>
      </c>
      <c r="N30" s="114" t="s">
        <v>352</v>
      </c>
      <c r="O30" s="109">
        <v>331</v>
      </c>
      <c r="P30" s="105"/>
      <c r="Q30" s="106"/>
    </row>
    <row r="31" spans="1:17" ht="10.5" customHeight="1">
      <c r="A31" s="89"/>
      <c r="B31" s="90"/>
      <c r="C31" s="94">
        <v>332</v>
      </c>
      <c r="D31" s="81" t="s">
        <v>296</v>
      </c>
      <c r="E31" s="83">
        <v>811</v>
      </c>
      <c r="F31" s="86">
        <v>13524</v>
      </c>
      <c r="G31" s="86">
        <v>1543</v>
      </c>
      <c r="H31" s="86">
        <v>12716</v>
      </c>
      <c r="I31" s="110">
        <v>2339</v>
      </c>
      <c r="J31" s="110">
        <v>14511</v>
      </c>
      <c r="K31" s="110">
        <v>1249</v>
      </c>
      <c r="L31" s="110">
        <v>1249</v>
      </c>
      <c r="M31" s="112">
        <v>-9.01</v>
      </c>
      <c r="N31" s="114" t="s">
        <v>353</v>
      </c>
      <c r="O31" s="109">
        <v>332</v>
      </c>
      <c r="P31" s="105"/>
      <c r="Q31" s="106"/>
    </row>
    <row r="32" spans="1:17" ht="10.5" customHeight="1">
      <c r="A32" s="89"/>
      <c r="B32" s="90"/>
      <c r="C32" s="94">
        <v>339</v>
      </c>
      <c r="D32" s="81" t="s">
        <v>297</v>
      </c>
      <c r="E32" s="83">
        <v>1937</v>
      </c>
      <c r="F32" s="86">
        <v>26007</v>
      </c>
      <c r="G32" s="86">
        <v>570</v>
      </c>
      <c r="H32" s="86">
        <v>23089</v>
      </c>
      <c r="I32" s="110">
        <v>478</v>
      </c>
      <c r="J32" s="110">
        <v>18879</v>
      </c>
      <c r="K32" s="110">
        <v>484</v>
      </c>
      <c r="L32" s="110">
        <v>484</v>
      </c>
      <c r="M32" s="112">
        <v>32.729999999999997</v>
      </c>
      <c r="N32" s="114" t="s">
        <v>354</v>
      </c>
      <c r="O32" s="109">
        <v>339</v>
      </c>
      <c r="P32" s="105"/>
      <c r="Q32" s="106"/>
    </row>
    <row r="33" spans="1:17" ht="10.5" customHeight="1">
      <c r="A33" s="89"/>
      <c r="B33" s="93">
        <v>34</v>
      </c>
      <c r="C33" s="94"/>
      <c r="D33" s="81" t="s">
        <v>298</v>
      </c>
      <c r="E33" s="83">
        <v>7000</v>
      </c>
      <c r="F33" s="86">
        <v>44499</v>
      </c>
      <c r="G33" s="86">
        <v>7329</v>
      </c>
      <c r="H33" s="86">
        <v>40000</v>
      </c>
      <c r="I33" s="110">
        <v>1807</v>
      </c>
      <c r="J33" s="110">
        <v>53740</v>
      </c>
      <c r="K33" s="110">
        <v>1507</v>
      </c>
      <c r="L33" s="110">
        <v>1507</v>
      </c>
      <c r="M33" s="112">
        <v>23.38</v>
      </c>
      <c r="N33" s="114" t="s">
        <v>355</v>
      </c>
      <c r="O33" s="109"/>
      <c r="P33" s="108">
        <v>34</v>
      </c>
      <c r="Q33" s="106"/>
    </row>
    <row r="34" spans="1:17" ht="20.100000000000001" customHeight="1">
      <c r="A34" s="89"/>
      <c r="B34" s="90"/>
      <c r="C34" s="94">
        <v>340</v>
      </c>
      <c r="D34" s="81" t="s">
        <v>299</v>
      </c>
      <c r="E34" s="83">
        <v>7000</v>
      </c>
      <c r="F34" s="86">
        <v>44499</v>
      </c>
      <c r="G34" s="86">
        <v>7329</v>
      </c>
      <c r="H34" s="86">
        <v>40000</v>
      </c>
      <c r="I34" s="110">
        <v>1807</v>
      </c>
      <c r="J34" s="110">
        <v>53740</v>
      </c>
      <c r="K34" s="110">
        <v>1507</v>
      </c>
      <c r="L34" s="110">
        <v>1507</v>
      </c>
      <c r="M34" s="112">
        <v>23.38</v>
      </c>
      <c r="N34" s="114" t="s">
        <v>356</v>
      </c>
      <c r="O34" s="109">
        <v>340</v>
      </c>
      <c r="P34" s="105"/>
      <c r="Q34" s="106"/>
    </row>
    <row r="35" spans="1:17" ht="14.1" customHeight="1">
      <c r="A35" s="92" t="s">
        <v>325</v>
      </c>
      <c r="B35" s="90"/>
      <c r="C35" s="94"/>
      <c r="D35" s="82" t="s">
        <v>300</v>
      </c>
      <c r="E35" s="84">
        <v>3095</v>
      </c>
      <c r="F35" s="87">
        <v>303786</v>
      </c>
      <c r="G35" s="87">
        <v>101</v>
      </c>
      <c r="H35" s="87">
        <v>299062</v>
      </c>
      <c r="I35" s="111">
        <v>88</v>
      </c>
      <c r="J35" s="111">
        <v>277413</v>
      </c>
      <c r="K35" s="111">
        <v>125</v>
      </c>
      <c r="L35" s="111">
        <v>125</v>
      </c>
      <c r="M35" s="113">
        <v>17.29</v>
      </c>
      <c r="N35" s="115" t="s">
        <v>357</v>
      </c>
      <c r="O35" s="109"/>
      <c r="P35" s="105"/>
      <c r="Q35" s="107" t="s">
        <v>325</v>
      </c>
    </row>
    <row r="36" spans="1:17" ht="10.5" customHeight="1">
      <c r="A36" s="89"/>
      <c r="B36" s="93">
        <v>35</v>
      </c>
      <c r="C36" s="94"/>
      <c r="D36" s="81" t="s">
        <v>301</v>
      </c>
      <c r="E36" s="83">
        <v>3095</v>
      </c>
      <c r="F36" s="86">
        <v>303786</v>
      </c>
      <c r="G36" s="86">
        <v>101</v>
      </c>
      <c r="H36" s="86">
        <v>299062</v>
      </c>
      <c r="I36" s="110">
        <v>88</v>
      </c>
      <c r="J36" s="110">
        <v>277413</v>
      </c>
      <c r="K36" s="110">
        <v>125</v>
      </c>
      <c r="L36" s="110">
        <v>125</v>
      </c>
      <c r="M36" s="112">
        <v>17.29</v>
      </c>
      <c r="N36" s="114" t="s">
        <v>358</v>
      </c>
      <c r="O36" s="109"/>
      <c r="P36" s="108">
        <v>35</v>
      </c>
      <c r="Q36" s="106"/>
    </row>
    <row r="37" spans="1:17" ht="10.5" customHeight="1">
      <c r="A37" s="89"/>
      <c r="B37" s="90"/>
      <c r="C37" s="94">
        <v>351</v>
      </c>
      <c r="D37" s="81" t="s">
        <v>302</v>
      </c>
      <c r="E37" s="83">
        <v>2587</v>
      </c>
      <c r="F37" s="86">
        <v>248468</v>
      </c>
      <c r="G37" s="86">
        <v>20</v>
      </c>
      <c r="H37" s="86">
        <v>245295</v>
      </c>
      <c r="I37" s="110">
        <v>14</v>
      </c>
      <c r="J37" s="110">
        <v>225002</v>
      </c>
      <c r="K37" s="110">
        <v>44</v>
      </c>
      <c r="L37" s="110">
        <v>44</v>
      </c>
      <c r="M37" s="112">
        <v>70.86</v>
      </c>
      <c r="N37" s="114" t="s">
        <v>359</v>
      </c>
      <c r="O37" s="109">
        <v>351</v>
      </c>
      <c r="P37" s="105"/>
      <c r="Q37" s="106"/>
    </row>
    <row r="38" spans="1:17" ht="10.5" customHeight="1">
      <c r="A38" s="89"/>
      <c r="B38" s="90"/>
      <c r="C38" s="94">
        <v>352</v>
      </c>
      <c r="D38" s="81" t="s">
        <v>303</v>
      </c>
      <c r="E38" s="83">
        <v>174</v>
      </c>
      <c r="F38" s="86">
        <v>53063</v>
      </c>
      <c r="G38" s="86">
        <v>81</v>
      </c>
      <c r="H38" s="86">
        <v>51569</v>
      </c>
      <c r="I38" s="110">
        <v>74</v>
      </c>
      <c r="J38" s="110">
        <v>50498</v>
      </c>
      <c r="K38" s="110">
        <v>81</v>
      </c>
      <c r="L38" s="110">
        <v>81</v>
      </c>
      <c r="M38" s="112">
        <v>3.48</v>
      </c>
      <c r="N38" s="114" t="s">
        <v>360</v>
      </c>
      <c r="O38" s="109">
        <v>352</v>
      </c>
      <c r="P38" s="105"/>
      <c r="Q38" s="106"/>
    </row>
    <row r="39" spans="1:17" ht="10.5" customHeight="1">
      <c r="A39" s="89"/>
      <c r="B39" s="90"/>
      <c r="C39" s="94">
        <v>353</v>
      </c>
      <c r="D39" s="81" t="s">
        <v>304</v>
      </c>
      <c r="E39" s="83">
        <v>334</v>
      </c>
      <c r="F39" s="86">
        <v>2255</v>
      </c>
      <c r="G39" s="86">
        <v>0</v>
      </c>
      <c r="H39" s="86">
        <v>2198</v>
      </c>
      <c r="I39" s="110">
        <v>0</v>
      </c>
      <c r="J39" s="110">
        <v>1914</v>
      </c>
      <c r="K39" s="110">
        <v>0</v>
      </c>
      <c r="L39" s="110">
        <v>0</v>
      </c>
      <c r="M39" s="112">
        <v>-95.56</v>
      </c>
      <c r="N39" s="114" t="s">
        <v>361</v>
      </c>
      <c r="O39" s="109">
        <v>353</v>
      </c>
      <c r="P39" s="105"/>
      <c r="Q39" s="106"/>
    </row>
    <row r="40" spans="1:17" ht="14.1" customHeight="1">
      <c r="A40" s="92" t="s">
        <v>326</v>
      </c>
      <c r="B40" s="90"/>
      <c r="C40" s="94"/>
      <c r="D40" s="82" t="s">
        <v>305</v>
      </c>
      <c r="E40" s="84">
        <v>8320</v>
      </c>
      <c r="F40" s="87">
        <v>42002</v>
      </c>
      <c r="G40" s="87">
        <v>215</v>
      </c>
      <c r="H40" s="87">
        <v>40441</v>
      </c>
      <c r="I40" s="111">
        <v>178</v>
      </c>
      <c r="J40" s="111">
        <v>45556</v>
      </c>
      <c r="K40" s="111">
        <v>125</v>
      </c>
      <c r="L40" s="111">
        <v>125</v>
      </c>
      <c r="M40" s="113">
        <v>-22.22</v>
      </c>
      <c r="N40" s="115" t="s">
        <v>362</v>
      </c>
      <c r="O40" s="109"/>
      <c r="P40" s="105"/>
      <c r="Q40" s="107" t="s">
        <v>326</v>
      </c>
    </row>
    <row r="41" spans="1:17" ht="10.5" customHeight="1">
      <c r="A41" s="89"/>
      <c r="B41" s="93">
        <v>36</v>
      </c>
      <c r="C41" s="94"/>
      <c r="D41" s="81" t="s">
        <v>306</v>
      </c>
      <c r="E41" s="83">
        <v>218</v>
      </c>
      <c r="F41" s="86">
        <v>7194</v>
      </c>
      <c r="G41" s="86">
        <v>2</v>
      </c>
      <c r="H41" s="86">
        <v>7053</v>
      </c>
      <c r="I41" s="110">
        <v>2</v>
      </c>
      <c r="J41" s="110">
        <v>7286</v>
      </c>
      <c r="K41" s="110">
        <v>2</v>
      </c>
      <c r="L41" s="110">
        <v>2</v>
      </c>
      <c r="M41" s="112">
        <v>-2.5099999999999998</v>
      </c>
      <c r="N41" s="114" t="s">
        <v>363</v>
      </c>
      <c r="O41" s="109"/>
      <c r="P41" s="108">
        <v>36</v>
      </c>
      <c r="Q41" s="106"/>
    </row>
    <row r="42" spans="1:17" ht="10.5" customHeight="1">
      <c r="A42" s="89"/>
      <c r="B42" s="90"/>
      <c r="C42" s="94">
        <v>360</v>
      </c>
      <c r="D42" s="81" t="s">
        <v>307</v>
      </c>
      <c r="E42" s="83">
        <v>218</v>
      </c>
      <c r="F42" s="86">
        <v>7194</v>
      </c>
      <c r="G42" s="86">
        <v>2</v>
      </c>
      <c r="H42" s="86">
        <v>7053</v>
      </c>
      <c r="I42" s="110">
        <v>2</v>
      </c>
      <c r="J42" s="110">
        <v>7286</v>
      </c>
      <c r="K42" s="110">
        <v>2</v>
      </c>
      <c r="L42" s="110">
        <v>2</v>
      </c>
      <c r="M42" s="112">
        <v>-2.5099999999999998</v>
      </c>
      <c r="N42" s="114" t="s">
        <v>364</v>
      </c>
      <c r="O42" s="109">
        <v>360</v>
      </c>
      <c r="P42" s="105"/>
      <c r="Q42" s="106"/>
    </row>
    <row r="43" spans="1:17" ht="10.5" customHeight="1">
      <c r="A43" s="89"/>
      <c r="B43" s="93">
        <v>37</v>
      </c>
      <c r="C43" s="94"/>
      <c r="D43" s="81" t="s">
        <v>308</v>
      </c>
      <c r="E43" s="83">
        <v>592</v>
      </c>
      <c r="F43" s="86">
        <v>2995</v>
      </c>
      <c r="G43" s="86">
        <v>5</v>
      </c>
      <c r="H43" s="86">
        <v>3194</v>
      </c>
      <c r="I43" s="110">
        <v>8</v>
      </c>
      <c r="J43" s="110">
        <v>4240</v>
      </c>
      <c r="K43" s="110">
        <v>5</v>
      </c>
      <c r="L43" s="110">
        <v>5</v>
      </c>
      <c r="M43" s="112">
        <v>-38.159999999999997</v>
      </c>
      <c r="N43" s="114" t="s">
        <v>365</v>
      </c>
      <c r="O43" s="109"/>
      <c r="P43" s="108">
        <v>37</v>
      </c>
      <c r="Q43" s="106"/>
    </row>
    <row r="44" spans="1:17" ht="10.5" customHeight="1">
      <c r="A44" s="89"/>
      <c r="B44" s="90"/>
      <c r="C44" s="94">
        <v>370</v>
      </c>
      <c r="D44" s="81" t="s">
        <v>309</v>
      </c>
      <c r="E44" s="83">
        <v>592</v>
      </c>
      <c r="F44" s="86">
        <v>2995</v>
      </c>
      <c r="G44" s="86">
        <v>5</v>
      </c>
      <c r="H44" s="86">
        <v>3194</v>
      </c>
      <c r="I44" s="110">
        <v>8</v>
      </c>
      <c r="J44" s="110">
        <v>4240</v>
      </c>
      <c r="K44" s="110">
        <v>5</v>
      </c>
      <c r="L44" s="110">
        <v>5</v>
      </c>
      <c r="M44" s="112">
        <v>-38.159999999999997</v>
      </c>
      <c r="N44" s="114" t="s">
        <v>366</v>
      </c>
      <c r="O44" s="109">
        <v>370</v>
      </c>
      <c r="P44" s="105"/>
      <c r="Q44" s="106"/>
    </row>
    <row r="45" spans="1:17" ht="20.100000000000001" customHeight="1">
      <c r="A45" s="89"/>
      <c r="B45" s="93">
        <v>38</v>
      </c>
      <c r="C45" s="94"/>
      <c r="D45" s="81" t="s">
        <v>310</v>
      </c>
      <c r="E45" s="83">
        <v>7272</v>
      </c>
      <c r="F45" s="86">
        <v>28337</v>
      </c>
      <c r="G45" s="86">
        <v>206</v>
      </c>
      <c r="H45" s="86">
        <v>27737</v>
      </c>
      <c r="I45" s="110">
        <v>167</v>
      </c>
      <c r="J45" s="110">
        <v>31569</v>
      </c>
      <c r="K45" s="110">
        <v>115</v>
      </c>
      <c r="L45" s="110">
        <v>115</v>
      </c>
      <c r="M45" s="112">
        <v>-22.15</v>
      </c>
      <c r="N45" s="114" t="s">
        <v>367</v>
      </c>
      <c r="O45" s="109"/>
      <c r="P45" s="108">
        <v>38</v>
      </c>
      <c r="Q45" s="106"/>
    </row>
    <row r="46" spans="1:17" ht="10.5" customHeight="1">
      <c r="A46" s="89"/>
      <c r="B46" s="90"/>
      <c r="C46" s="94">
        <v>381</v>
      </c>
      <c r="D46" s="81" t="s">
        <v>311</v>
      </c>
      <c r="E46" s="83">
        <v>4052</v>
      </c>
      <c r="F46" s="86">
        <v>14196</v>
      </c>
      <c r="G46" s="86">
        <v>40</v>
      </c>
      <c r="H46" s="86">
        <v>14361</v>
      </c>
      <c r="I46" s="110">
        <v>64</v>
      </c>
      <c r="J46" s="110">
        <v>15921</v>
      </c>
      <c r="K46" s="110">
        <v>36</v>
      </c>
      <c r="L46" s="110">
        <v>36</v>
      </c>
      <c r="M46" s="112">
        <v>-22.16</v>
      </c>
      <c r="N46" s="114" t="s">
        <v>368</v>
      </c>
      <c r="O46" s="109">
        <v>381</v>
      </c>
      <c r="P46" s="105"/>
      <c r="Q46" s="106"/>
    </row>
    <row r="47" spans="1:17" ht="10.5" customHeight="1">
      <c r="A47" s="89"/>
      <c r="B47" s="90"/>
      <c r="C47" s="94">
        <v>382</v>
      </c>
      <c r="D47" s="81" t="s">
        <v>312</v>
      </c>
      <c r="E47" s="83">
        <v>1508</v>
      </c>
      <c r="F47" s="86">
        <v>8117</v>
      </c>
      <c r="G47" s="86">
        <v>32</v>
      </c>
      <c r="H47" s="86">
        <v>7703</v>
      </c>
      <c r="I47" s="110">
        <v>25</v>
      </c>
      <c r="J47" s="110">
        <v>8262</v>
      </c>
      <c r="K47" s="110">
        <v>22</v>
      </c>
      <c r="L47" s="110">
        <v>22</v>
      </c>
      <c r="M47" s="112">
        <v>-7.98</v>
      </c>
      <c r="N47" s="114" t="s">
        <v>369</v>
      </c>
      <c r="O47" s="109">
        <v>382</v>
      </c>
      <c r="P47" s="105"/>
      <c r="Q47" s="106"/>
    </row>
    <row r="48" spans="1:17" ht="10.5" customHeight="1">
      <c r="A48" s="89"/>
      <c r="B48" s="90"/>
      <c r="C48" s="94">
        <v>383</v>
      </c>
      <c r="D48" s="81" t="s">
        <v>313</v>
      </c>
      <c r="E48" s="83">
        <v>1712</v>
      </c>
      <c r="F48" s="86">
        <v>6024</v>
      </c>
      <c r="G48" s="86">
        <v>134</v>
      </c>
      <c r="H48" s="86">
        <v>5672</v>
      </c>
      <c r="I48" s="110">
        <v>78</v>
      </c>
      <c r="J48" s="110">
        <v>7386</v>
      </c>
      <c r="K48" s="110">
        <v>57</v>
      </c>
      <c r="L48" s="110">
        <v>57</v>
      </c>
      <c r="M48" s="112">
        <v>-26.62</v>
      </c>
      <c r="N48" s="114" t="s">
        <v>370</v>
      </c>
      <c r="O48" s="109">
        <v>383</v>
      </c>
      <c r="P48" s="105"/>
      <c r="Q48" s="106"/>
    </row>
    <row r="49" spans="1:17" ht="10.5" customHeight="1">
      <c r="A49" s="89"/>
      <c r="B49" s="93">
        <v>39</v>
      </c>
      <c r="C49" s="94"/>
      <c r="D49" s="81" t="s">
        <v>314</v>
      </c>
      <c r="E49" s="83">
        <v>238</v>
      </c>
      <c r="F49" s="86">
        <v>3476</v>
      </c>
      <c r="G49" s="86">
        <v>2</v>
      </c>
      <c r="H49" s="86">
        <v>2458</v>
      </c>
      <c r="I49" s="110">
        <v>2</v>
      </c>
      <c r="J49" s="110">
        <v>2460</v>
      </c>
      <c r="K49" s="110">
        <v>2</v>
      </c>
      <c r="L49" s="110">
        <v>2</v>
      </c>
      <c r="M49" s="112">
        <v>34.380000000000003</v>
      </c>
      <c r="N49" s="114" t="s">
        <v>371</v>
      </c>
      <c r="O49" s="109"/>
      <c r="P49" s="108">
        <v>39</v>
      </c>
      <c r="Q49" s="106"/>
    </row>
    <row r="50" spans="1:17" ht="20.100000000000001" customHeight="1">
      <c r="A50" s="89"/>
      <c r="B50" s="90"/>
      <c r="C50" s="94">
        <v>390</v>
      </c>
      <c r="D50" s="81" t="s">
        <v>315</v>
      </c>
      <c r="E50" s="83">
        <v>238</v>
      </c>
      <c r="F50" s="86">
        <v>3476</v>
      </c>
      <c r="G50" s="86">
        <v>2</v>
      </c>
      <c r="H50" s="86">
        <v>2458</v>
      </c>
      <c r="I50" s="110">
        <v>2</v>
      </c>
      <c r="J50" s="110">
        <v>2460</v>
      </c>
      <c r="K50" s="110">
        <v>2</v>
      </c>
      <c r="L50" s="110">
        <v>2</v>
      </c>
      <c r="M50" s="112">
        <v>34.380000000000003</v>
      </c>
      <c r="N50" s="114" t="s">
        <v>372</v>
      </c>
      <c r="O50" s="109">
        <v>390</v>
      </c>
      <c r="P50" s="105"/>
      <c r="Q50" s="106"/>
    </row>
    <row r="51" spans="1:17" ht="14.1" customHeight="1">
      <c r="A51" s="92" t="s">
        <v>327</v>
      </c>
      <c r="B51" s="90"/>
      <c r="C51" s="94"/>
      <c r="D51" s="82" t="s">
        <v>316</v>
      </c>
      <c r="E51" s="84">
        <v>158360</v>
      </c>
      <c r="F51" s="87">
        <v>641913</v>
      </c>
      <c r="G51" s="87">
        <v>1510</v>
      </c>
      <c r="H51" s="87">
        <v>638863</v>
      </c>
      <c r="I51" s="111">
        <v>1902</v>
      </c>
      <c r="J51" s="111">
        <v>786649</v>
      </c>
      <c r="K51" s="111">
        <v>1063</v>
      </c>
      <c r="L51" s="111">
        <v>1063</v>
      </c>
      <c r="M51" s="113">
        <v>-42.99</v>
      </c>
      <c r="N51" s="115" t="s">
        <v>373</v>
      </c>
      <c r="O51" s="109"/>
      <c r="P51" s="105"/>
      <c r="Q51" s="107" t="s">
        <v>327</v>
      </c>
    </row>
    <row r="52" spans="1:17" ht="10.5" customHeight="1">
      <c r="A52" s="89"/>
      <c r="B52" s="93">
        <v>41</v>
      </c>
      <c r="C52" s="94"/>
      <c r="D52" s="81" t="s">
        <v>317</v>
      </c>
      <c r="E52" s="83">
        <v>8836</v>
      </c>
      <c r="F52" s="86">
        <v>96921</v>
      </c>
      <c r="G52" s="86">
        <v>67</v>
      </c>
      <c r="H52" s="86">
        <v>96252</v>
      </c>
      <c r="I52" s="110">
        <v>58</v>
      </c>
      <c r="J52" s="110">
        <v>130182</v>
      </c>
      <c r="K52" s="110">
        <v>60</v>
      </c>
      <c r="L52" s="110">
        <v>60</v>
      </c>
      <c r="M52" s="112">
        <v>-81.39</v>
      </c>
      <c r="N52" s="114" t="s">
        <v>374</v>
      </c>
      <c r="O52" s="109"/>
      <c r="P52" s="108">
        <v>41</v>
      </c>
      <c r="Q52" s="106"/>
    </row>
    <row r="53" spans="1:17" ht="10.5" customHeight="1">
      <c r="A53" s="89"/>
      <c r="B53" s="90"/>
      <c r="C53" s="94">
        <v>410</v>
      </c>
      <c r="D53" s="81" t="s">
        <v>318</v>
      </c>
      <c r="E53" s="83">
        <v>8836</v>
      </c>
      <c r="F53" s="86">
        <v>96921</v>
      </c>
      <c r="G53" s="86">
        <v>67</v>
      </c>
      <c r="H53" s="86">
        <v>96252</v>
      </c>
      <c r="I53" s="110">
        <v>58</v>
      </c>
      <c r="J53" s="110">
        <v>130182</v>
      </c>
      <c r="K53" s="110">
        <v>60</v>
      </c>
      <c r="L53" s="110">
        <v>60</v>
      </c>
      <c r="M53" s="112">
        <v>-81.39</v>
      </c>
      <c r="N53" s="114" t="s">
        <v>375</v>
      </c>
      <c r="O53" s="109">
        <v>410</v>
      </c>
      <c r="P53" s="105"/>
      <c r="Q53" s="106"/>
    </row>
    <row r="54" spans="1:17" ht="10.5" customHeight="1">
      <c r="A54" s="89"/>
      <c r="B54" s="93">
        <v>42</v>
      </c>
      <c r="C54" s="94"/>
      <c r="D54" s="81" t="s">
        <v>319</v>
      </c>
      <c r="E54" s="83">
        <v>17297</v>
      </c>
      <c r="F54" s="86">
        <v>153485</v>
      </c>
      <c r="G54" s="86">
        <v>205</v>
      </c>
      <c r="H54" s="86">
        <v>146742</v>
      </c>
      <c r="I54" s="110">
        <v>102</v>
      </c>
      <c r="J54" s="110">
        <v>191804</v>
      </c>
      <c r="K54" s="110">
        <v>-41</v>
      </c>
      <c r="L54" s="110">
        <v>-41</v>
      </c>
      <c r="M54" s="117" t="s">
        <v>122</v>
      </c>
      <c r="N54" s="114" t="s">
        <v>376</v>
      </c>
      <c r="O54" s="109"/>
      <c r="P54" s="108">
        <v>42</v>
      </c>
      <c r="Q54" s="106"/>
    </row>
    <row r="55" spans="1:17" ht="10.5" customHeight="1">
      <c r="A55" s="89"/>
      <c r="B55" s="90"/>
      <c r="C55" s="94">
        <v>421</v>
      </c>
      <c r="D55" s="81" t="s">
        <v>320</v>
      </c>
      <c r="E55" s="83">
        <v>1200</v>
      </c>
      <c r="F55" s="86">
        <v>9245</v>
      </c>
      <c r="G55" s="86">
        <v>0</v>
      </c>
      <c r="H55" s="86">
        <v>9196</v>
      </c>
      <c r="I55" s="119">
        <v>0</v>
      </c>
      <c r="J55" s="110">
        <v>11862</v>
      </c>
      <c r="K55" s="110">
        <v>0</v>
      </c>
      <c r="L55" s="110">
        <v>0</v>
      </c>
      <c r="M55" s="112">
        <v>-99.04</v>
      </c>
      <c r="N55" s="114" t="s">
        <v>377</v>
      </c>
      <c r="O55" s="109">
        <v>421</v>
      </c>
      <c r="P55" s="105"/>
      <c r="Q55" s="106"/>
    </row>
    <row r="56" spans="1:17" ht="10.5" customHeight="1">
      <c r="A56" s="89"/>
      <c r="B56" s="90"/>
      <c r="C56" s="94">
        <v>422</v>
      </c>
      <c r="D56" s="81" t="s">
        <v>321</v>
      </c>
      <c r="E56" s="83">
        <v>2893</v>
      </c>
      <c r="F56" s="86">
        <v>27432</v>
      </c>
      <c r="G56" s="86">
        <v>7</v>
      </c>
      <c r="H56" s="86">
        <v>26028</v>
      </c>
      <c r="I56" s="110">
        <v>2</v>
      </c>
      <c r="J56" s="110">
        <v>33562</v>
      </c>
      <c r="K56" s="110">
        <v>-42</v>
      </c>
      <c r="L56" s="110">
        <v>-42</v>
      </c>
      <c r="M56" s="117" t="s">
        <v>122</v>
      </c>
      <c r="N56" s="114" t="s">
        <v>378</v>
      </c>
      <c r="O56" s="109">
        <v>422</v>
      </c>
      <c r="P56" s="105"/>
      <c r="Q56" s="106"/>
    </row>
    <row r="57" spans="1:17" ht="10.5" customHeight="1">
      <c r="A57" s="89"/>
      <c r="B57" s="90"/>
      <c r="C57" s="94">
        <v>429</v>
      </c>
      <c r="D57" s="81" t="s">
        <v>322</v>
      </c>
      <c r="E57" s="83">
        <v>13204</v>
      </c>
      <c r="F57" s="86">
        <v>116808</v>
      </c>
      <c r="G57" s="86">
        <v>198</v>
      </c>
      <c r="H57" s="86">
        <v>111518</v>
      </c>
      <c r="I57" s="110">
        <v>100</v>
      </c>
      <c r="J57" s="110">
        <v>146380</v>
      </c>
      <c r="K57" s="110">
        <v>1</v>
      </c>
      <c r="L57" s="110">
        <v>1</v>
      </c>
      <c r="M57" s="112">
        <v>-98.1</v>
      </c>
      <c r="N57" s="114" t="s">
        <v>379</v>
      </c>
      <c r="O57" s="109">
        <v>429</v>
      </c>
      <c r="P57" s="105"/>
      <c r="Q57" s="106"/>
    </row>
    <row r="58" spans="1:17" ht="10.5" customHeight="1">
      <c r="A58" s="89"/>
      <c r="B58" s="93">
        <v>43</v>
      </c>
      <c r="C58" s="94"/>
      <c r="D58" s="81" t="s">
        <v>323</v>
      </c>
      <c r="E58" s="83">
        <v>132227</v>
      </c>
      <c r="F58" s="86">
        <v>391507</v>
      </c>
      <c r="G58" s="86">
        <v>1238</v>
      </c>
      <c r="H58" s="86">
        <v>395870</v>
      </c>
      <c r="I58" s="110">
        <v>1743</v>
      </c>
      <c r="J58" s="110">
        <v>464663</v>
      </c>
      <c r="K58" s="110">
        <v>1045</v>
      </c>
      <c r="L58" s="110">
        <v>1045</v>
      </c>
      <c r="M58" s="112">
        <v>-29.68</v>
      </c>
      <c r="N58" s="114" t="s">
        <v>380</v>
      </c>
      <c r="O58" s="109"/>
      <c r="P58" s="108">
        <v>43</v>
      </c>
      <c r="Q58" s="106"/>
    </row>
    <row r="59" spans="1:17" ht="10.5" customHeight="1">
      <c r="A59" s="89"/>
      <c r="B59" s="90"/>
      <c r="C59" s="94">
        <v>431</v>
      </c>
      <c r="D59" s="81" t="s">
        <v>324</v>
      </c>
      <c r="E59" s="83">
        <v>6858</v>
      </c>
      <c r="F59" s="86">
        <v>26573</v>
      </c>
      <c r="G59" s="86">
        <v>105</v>
      </c>
      <c r="H59" s="86">
        <v>23753</v>
      </c>
      <c r="I59" s="110">
        <v>7</v>
      </c>
      <c r="J59" s="110">
        <v>26979</v>
      </c>
      <c r="K59" s="110">
        <v>10</v>
      </c>
      <c r="L59" s="110">
        <v>10</v>
      </c>
      <c r="M59" s="112">
        <v>-53.18</v>
      </c>
      <c r="N59" s="114" t="s">
        <v>381</v>
      </c>
      <c r="O59" s="109">
        <v>431</v>
      </c>
      <c r="P59" s="105"/>
      <c r="Q59" s="106"/>
    </row>
    <row r="60" spans="1:17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11"/>
      <c r="M60" s="37"/>
      <c r="N60" s="39"/>
      <c r="O60" s="9"/>
      <c r="P60" s="9"/>
      <c r="Q60" s="7"/>
    </row>
    <row r="62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435</v>
      </c>
      <c r="B1" s="48"/>
      <c r="C1" s="48"/>
      <c r="D1" s="48"/>
      <c r="E1" s="48"/>
      <c r="F1" s="48"/>
      <c r="G1" s="48"/>
      <c r="H1" s="48"/>
      <c r="I1" s="47" t="s">
        <v>484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9</v>
      </c>
      <c r="E3" s="21" t="s">
        <v>10</v>
      </c>
      <c r="F3" s="53" t="s">
        <v>11</v>
      </c>
      <c r="G3" s="54"/>
      <c r="H3" s="55"/>
      <c r="I3" s="78" t="s">
        <v>12</v>
      </c>
      <c r="J3" s="78"/>
      <c r="K3" s="78"/>
      <c r="L3" s="78"/>
      <c r="M3" s="79"/>
      <c r="N3" s="75" t="s">
        <v>13</v>
      </c>
      <c r="O3" s="74" t="s">
        <v>14</v>
      </c>
      <c r="P3" s="70" t="s">
        <v>15</v>
      </c>
      <c r="Q3" s="49" t="s">
        <v>16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8" t="s">
        <v>106</v>
      </c>
      <c r="L5" s="118" t="s">
        <v>167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432</v>
      </c>
      <c r="D8" s="81" t="s">
        <v>434</v>
      </c>
      <c r="E8" s="83">
        <v>2441</v>
      </c>
      <c r="F8" s="86">
        <v>5125</v>
      </c>
      <c r="G8" s="86">
        <v>4</v>
      </c>
      <c r="H8" s="86">
        <v>5073</v>
      </c>
      <c r="I8" s="110">
        <v>2</v>
      </c>
      <c r="J8" s="110">
        <v>6943</v>
      </c>
      <c r="K8" s="110">
        <v>3</v>
      </c>
      <c r="L8" s="110">
        <v>3</v>
      </c>
      <c r="M8" s="112">
        <v>-35.700000000000003</v>
      </c>
      <c r="N8" s="114" t="s">
        <v>436</v>
      </c>
      <c r="O8" s="109">
        <v>432</v>
      </c>
      <c r="P8" s="105"/>
      <c r="Q8" s="106"/>
    </row>
    <row r="9" spans="1:17" ht="20.100000000000001" customHeight="1">
      <c r="A9" s="89"/>
      <c r="B9" s="90"/>
      <c r="C9" s="94">
        <v>433</v>
      </c>
      <c r="D9" s="81" t="s">
        <v>383</v>
      </c>
      <c r="E9" s="83">
        <v>48940</v>
      </c>
      <c r="F9" s="86">
        <v>179004</v>
      </c>
      <c r="G9" s="86">
        <v>859</v>
      </c>
      <c r="H9" s="86">
        <v>176587</v>
      </c>
      <c r="I9" s="110">
        <v>1473</v>
      </c>
      <c r="J9" s="110">
        <v>203839</v>
      </c>
      <c r="K9" s="110">
        <v>784</v>
      </c>
      <c r="L9" s="110">
        <v>784</v>
      </c>
      <c r="M9" s="112">
        <v>-40.520000000000003</v>
      </c>
      <c r="N9" s="114" t="s">
        <v>437</v>
      </c>
      <c r="O9" s="109">
        <v>433</v>
      </c>
      <c r="P9" s="105"/>
      <c r="Q9" s="106"/>
    </row>
    <row r="10" spans="1:17" ht="10.5" customHeight="1">
      <c r="A10" s="89"/>
      <c r="B10" s="90"/>
      <c r="C10" s="94">
        <v>434</v>
      </c>
      <c r="D10" s="81" t="s">
        <v>384</v>
      </c>
      <c r="E10" s="83">
        <v>56029</v>
      </c>
      <c r="F10" s="86">
        <v>91938</v>
      </c>
      <c r="G10" s="86">
        <v>205</v>
      </c>
      <c r="H10" s="86">
        <v>98610</v>
      </c>
      <c r="I10" s="110">
        <v>239</v>
      </c>
      <c r="J10" s="110">
        <v>117582</v>
      </c>
      <c r="K10" s="110">
        <v>152</v>
      </c>
      <c r="L10" s="110">
        <v>152</v>
      </c>
      <c r="M10" s="112">
        <v>96.5</v>
      </c>
      <c r="N10" s="114" t="s">
        <v>438</v>
      </c>
      <c r="O10" s="109">
        <v>434</v>
      </c>
      <c r="P10" s="105"/>
      <c r="Q10" s="106"/>
    </row>
    <row r="11" spans="1:17" ht="10.5" customHeight="1">
      <c r="A11" s="89"/>
      <c r="B11" s="90"/>
      <c r="C11" s="94">
        <v>439</v>
      </c>
      <c r="D11" s="81" t="s">
        <v>385</v>
      </c>
      <c r="E11" s="83">
        <v>17959</v>
      </c>
      <c r="F11" s="86">
        <v>88868</v>
      </c>
      <c r="G11" s="86">
        <v>66</v>
      </c>
      <c r="H11" s="86">
        <v>91847</v>
      </c>
      <c r="I11" s="110">
        <v>21</v>
      </c>
      <c r="J11" s="110">
        <v>109320</v>
      </c>
      <c r="K11" s="110">
        <v>97</v>
      </c>
      <c r="L11" s="110">
        <v>97</v>
      </c>
      <c r="M11" s="112">
        <v>45.97</v>
      </c>
      <c r="N11" s="114" t="s">
        <v>439</v>
      </c>
      <c r="O11" s="109">
        <v>439</v>
      </c>
      <c r="P11" s="105"/>
      <c r="Q11" s="106"/>
    </row>
    <row r="12" spans="1:17" ht="14.1" customHeight="1">
      <c r="A12" s="92" t="s">
        <v>430</v>
      </c>
      <c r="B12" s="90"/>
      <c r="C12" s="94"/>
      <c r="D12" s="82" t="s">
        <v>386</v>
      </c>
      <c r="E12" s="84">
        <v>730004</v>
      </c>
      <c r="F12" s="87">
        <v>2914192</v>
      </c>
      <c r="G12" s="87">
        <v>152333</v>
      </c>
      <c r="H12" s="87">
        <v>2932417</v>
      </c>
      <c r="I12" s="111">
        <v>147949</v>
      </c>
      <c r="J12" s="111">
        <v>3252528</v>
      </c>
      <c r="K12" s="111">
        <v>161636</v>
      </c>
      <c r="L12" s="111">
        <v>161636</v>
      </c>
      <c r="M12" s="113">
        <v>24.83</v>
      </c>
      <c r="N12" s="115" t="s">
        <v>440</v>
      </c>
      <c r="O12" s="109"/>
      <c r="P12" s="105"/>
      <c r="Q12" s="107" t="s">
        <v>430</v>
      </c>
    </row>
    <row r="13" spans="1:17" ht="10.5" customHeight="1">
      <c r="A13" s="89"/>
      <c r="B13" s="93" t="s">
        <v>431</v>
      </c>
      <c r="C13" s="94"/>
      <c r="D13" s="81" t="s">
        <v>387</v>
      </c>
      <c r="E13" s="83">
        <v>328378</v>
      </c>
      <c r="F13" s="86">
        <v>1981990</v>
      </c>
      <c r="G13" s="86">
        <v>122915</v>
      </c>
      <c r="H13" s="86">
        <v>1969368</v>
      </c>
      <c r="I13" s="110">
        <v>120217</v>
      </c>
      <c r="J13" s="110">
        <v>2228428</v>
      </c>
      <c r="K13" s="110">
        <v>133740</v>
      </c>
      <c r="L13" s="110">
        <v>133740</v>
      </c>
      <c r="M13" s="112">
        <v>35.479999999999997</v>
      </c>
      <c r="N13" s="114" t="s">
        <v>441</v>
      </c>
      <c r="O13" s="109"/>
      <c r="P13" s="108" t="s">
        <v>431</v>
      </c>
      <c r="Q13" s="106"/>
    </row>
    <row r="14" spans="1:17" ht="10.5" customHeight="1">
      <c r="A14" s="89"/>
      <c r="B14" s="90"/>
      <c r="C14" s="94">
        <v>451</v>
      </c>
      <c r="D14" s="81" t="s">
        <v>388</v>
      </c>
      <c r="E14" s="83">
        <v>10637</v>
      </c>
      <c r="F14" s="86">
        <v>123455</v>
      </c>
      <c r="G14" s="86">
        <v>27195</v>
      </c>
      <c r="H14" s="86">
        <v>132539</v>
      </c>
      <c r="I14" s="110">
        <v>27710</v>
      </c>
      <c r="J14" s="110">
        <v>149135</v>
      </c>
      <c r="K14" s="110">
        <v>22342</v>
      </c>
      <c r="L14" s="110">
        <v>22342</v>
      </c>
      <c r="M14" s="112">
        <v>23.9</v>
      </c>
      <c r="N14" s="114" t="s">
        <v>442</v>
      </c>
      <c r="O14" s="109">
        <v>451</v>
      </c>
      <c r="P14" s="105"/>
      <c r="Q14" s="106"/>
    </row>
    <row r="15" spans="1:17" ht="10.5" customHeight="1">
      <c r="A15" s="89"/>
      <c r="B15" s="90"/>
      <c r="C15" s="94">
        <v>452</v>
      </c>
      <c r="D15" s="81" t="s">
        <v>389</v>
      </c>
      <c r="E15" s="83">
        <v>5930</v>
      </c>
      <c r="F15" s="86">
        <v>60548</v>
      </c>
      <c r="G15" s="86">
        <v>3045</v>
      </c>
      <c r="H15" s="86">
        <v>57959</v>
      </c>
      <c r="I15" s="110">
        <v>2876</v>
      </c>
      <c r="J15" s="110">
        <v>64267</v>
      </c>
      <c r="K15" s="110">
        <v>2728</v>
      </c>
      <c r="L15" s="110">
        <v>2728</v>
      </c>
      <c r="M15" s="112">
        <v>7.45</v>
      </c>
      <c r="N15" s="114" t="s">
        <v>443</v>
      </c>
      <c r="O15" s="109">
        <v>452</v>
      </c>
      <c r="P15" s="105"/>
      <c r="Q15" s="106"/>
    </row>
    <row r="16" spans="1:17" ht="10.5" customHeight="1">
      <c r="A16" s="89"/>
      <c r="B16" s="90"/>
      <c r="C16" s="94">
        <v>453</v>
      </c>
      <c r="D16" s="81" t="s">
        <v>390</v>
      </c>
      <c r="E16" s="83">
        <v>4983</v>
      </c>
      <c r="F16" s="86">
        <v>27092</v>
      </c>
      <c r="G16" s="86">
        <v>120</v>
      </c>
      <c r="H16" s="86">
        <v>26073</v>
      </c>
      <c r="I16" s="110">
        <v>378</v>
      </c>
      <c r="J16" s="110">
        <v>27663</v>
      </c>
      <c r="K16" s="110">
        <v>135</v>
      </c>
      <c r="L16" s="110">
        <v>135</v>
      </c>
      <c r="M16" s="112">
        <v>-48.77</v>
      </c>
      <c r="N16" s="114" t="s">
        <v>444</v>
      </c>
      <c r="O16" s="109">
        <v>453</v>
      </c>
      <c r="P16" s="105"/>
      <c r="Q16" s="106"/>
    </row>
    <row r="17" spans="1:17" ht="10.5" customHeight="1">
      <c r="A17" s="89"/>
      <c r="B17" s="90"/>
      <c r="C17" s="94">
        <v>454</v>
      </c>
      <c r="D17" s="81" t="s">
        <v>391</v>
      </c>
      <c r="E17" s="83">
        <v>55409</v>
      </c>
      <c r="F17" s="86">
        <v>294280</v>
      </c>
      <c r="G17" s="86">
        <v>2059</v>
      </c>
      <c r="H17" s="86">
        <v>289253</v>
      </c>
      <c r="I17" s="110">
        <v>2589</v>
      </c>
      <c r="J17" s="110">
        <v>309558</v>
      </c>
      <c r="K17" s="110">
        <v>1586</v>
      </c>
      <c r="L17" s="110">
        <v>1586</v>
      </c>
      <c r="M17" s="112">
        <v>30.51</v>
      </c>
      <c r="N17" s="114" t="s">
        <v>445</v>
      </c>
      <c r="O17" s="109">
        <v>454</v>
      </c>
      <c r="P17" s="105"/>
      <c r="Q17" s="106"/>
    </row>
    <row r="18" spans="1:17" ht="10.5" customHeight="1">
      <c r="A18" s="89"/>
      <c r="B18" s="90"/>
      <c r="C18" s="94">
        <v>455</v>
      </c>
      <c r="D18" s="81" t="s">
        <v>392</v>
      </c>
      <c r="E18" s="83">
        <v>19853</v>
      </c>
      <c r="F18" s="86">
        <v>67163</v>
      </c>
      <c r="G18" s="86">
        <v>7465</v>
      </c>
      <c r="H18" s="86">
        <v>67979</v>
      </c>
      <c r="I18" s="110">
        <v>7706</v>
      </c>
      <c r="J18" s="110">
        <v>76708</v>
      </c>
      <c r="K18" s="110">
        <v>5795</v>
      </c>
      <c r="L18" s="110">
        <v>5795</v>
      </c>
      <c r="M18" s="112">
        <v>15.89</v>
      </c>
      <c r="N18" s="114" t="s">
        <v>446</v>
      </c>
      <c r="O18" s="109">
        <v>455</v>
      </c>
      <c r="P18" s="105"/>
      <c r="Q18" s="106"/>
    </row>
    <row r="19" spans="1:17" ht="10.5" customHeight="1">
      <c r="A19" s="89"/>
      <c r="B19" s="90"/>
      <c r="C19" s="94">
        <v>456</v>
      </c>
      <c r="D19" s="81" t="s">
        <v>393</v>
      </c>
      <c r="E19" s="83">
        <v>35809</v>
      </c>
      <c r="F19" s="86">
        <v>141180</v>
      </c>
      <c r="G19" s="86">
        <v>2310</v>
      </c>
      <c r="H19" s="86">
        <v>138339</v>
      </c>
      <c r="I19" s="110">
        <v>4257</v>
      </c>
      <c r="J19" s="110">
        <v>160183</v>
      </c>
      <c r="K19" s="110">
        <v>2345</v>
      </c>
      <c r="L19" s="110">
        <v>2345</v>
      </c>
      <c r="M19" s="112">
        <v>-14.64</v>
      </c>
      <c r="N19" s="114" t="s">
        <v>447</v>
      </c>
      <c r="O19" s="109">
        <v>456</v>
      </c>
      <c r="P19" s="105"/>
      <c r="Q19" s="106"/>
    </row>
    <row r="20" spans="1:17" ht="20.100000000000001" customHeight="1">
      <c r="A20" s="89"/>
      <c r="B20" s="90"/>
      <c r="C20" s="94">
        <v>457</v>
      </c>
      <c r="D20" s="81" t="s">
        <v>394</v>
      </c>
      <c r="E20" s="83">
        <v>16192</v>
      </c>
      <c r="F20" s="86">
        <v>94610</v>
      </c>
      <c r="G20" s="86">
        <v>485</v>
      </c>
      <c r="H20" s="86">
        <v>102240</v>
      </c>
      <c r="I20" s="110">
        <v>652</v>
      </c>
      <c r="J20" s="110">
        <v>110739</v>
      </c>
      <c r="K20" s="110">
        <v>624</v>
      </c>
      <c r="L20" s="110">
        <v>624</v>
      </c>
      <c r="M20" s="112">
        <v>16.12</v>
      </c>
      <c r="N20" s="114" t="s">
        <v>448</v>
      </c>
      <c r="O20" s="109">
        <v>457</v>
      </c>
      <c r="P20" s="105"/>
      <c r="Q20" s="106"/>
    </row>
    <row r="21" spans="1:17" ht="10.5" customHeight="1">
      <c r="A21" s="89"/>
      <c r="B21" s="90"/>
      <c r="C21" s="94">
        <v>458</v>
      </c>
      <c r="D21" s="81" t="s">
        <v>395</v>
      </c>
      <c r="E21" s="83">
        <v>10887</v>
      </c>
      <c r="F21" s="86">
        <v>34563</v>
      </c>
      <c r="G21" s="86">
        <v>2295</v>
      </c>
      <c r="H21" s="86">
        <v>34570</v>
      </c>
      <c r="I21" s="110">
        <v>2330</v>
      </c>
      <c r="J21" s="110">
        <v>41352</v>
      </c>
      <c r="K21" s="110">
        <v>2561</v>
      </c>
      <c r="L21" s="110">
        <v>2561</v>
      </c>
      <c r="M21" s="112">
        <v>-16.37</v>
      </c>
      <c r="N21" s="114" t="s">
        <v>449</v>
      </c>
      <c r="O21" s="109">
        <v>458</v>
      </c>
      <c r="P21" s="105"/>
      <c r="Q21" s="106"/>
    </row>
    <row r="22" spans="1:17" ht="10.5" customHeight="1">
      <c r="A22" s="89"/>
      <c r="B22" s="90"/>
      <c r="C22" s="94">
        <v>461</v>
      </c>
      <c r="D22" s="81" t="s">
        <v>396</v>
      </c>
      <c r="E22" s="83">
        <v>46132</v>
      </c>
      <c r="F22" s="86">
        <v>260733</v>
      </c>
      <c r="G22" s="86">
        <v>7142</v>
      </c>
      <c r="H22" s="86">
        <v>250500</v>
      </c>
      <c r="I22" s="110">
        <v>7505</v>
      </c>
      <c r="J22" s="110">
        <v>286697</v>
      </c>
      <c r="K22" s="110">
        <v>7402</v>
      </c>
      <c r="L22" s="110">
        <v>7402</v>
      </c>
      <c r="M22" s="112">
        <v>12.5</v>
      </c>
      <c r="N22" s="114" t="s">
        <v>450</v>
      </c>
      <c r="O22" s="109">
        <v>461</v>
      </c>
      <c r="P22" s="105"/>
      <c r="Q22" s="106"/>
    </row>
    <row r="23" spans="1:17" ht="10.5" customHeight="1">
      <c r="A23" s="89"/>
      <c r="B23" s="90"/>
      <c r="C23" s="94">
        <v>462</v>
      </c>
      <c r="D23" s="81" t="s">
        <v>397</v>
      </c>
      <c r="E23" s="83">
        <v>12274</v>
      </c>
      <c r="F23" s="86">
        <v>90666</v>
      </c>
      <c r="G23" s="86">
        <v>13774</v>
      </c>
      <c r="H23" s="86">
        <v>89816</v>
      </c>
      <c r="I23" s="110">
        <v>12243</v>
      </c>
      <c r="J23" s="110">
        <v>104998</v>
      </c>
      <c r="K23" s="110">
        <v>13178</v>
      </c>
      <c r="L23" s="110">
        <v>13178</v>
      </c>
      <c r="M23" s="112">
        <v>-17.39</v>
      </c>
      <c r="N23" s="114" t="s">
        <v>451</v>
      </c>
      <c r="O23" s="109">
        <v>462</v>
      </c>
      <c r="P23" s="105"/>
      <c r="Q23" s="106"/>
    </row>
    <row r="24" spans="1:17" ht="10.5" customHeight="1">
      <c r="A24" s="89"/>
      <c r="B24" s="90"/>
      <c r="C24" s="94">
        <v>463</v>
      </c>
      <c r="D24" s="81" t="s">
        <v>398</v>
      </c>
      <c r="E24" s="83">
        <v>1780</v>
      </c>
      <c r="F24" s="86">
        <v>51588</v>
      </c>
      <c r="G24" s="86">
        <v>277</v>
      </c>
      <c r="H24" s="86">
        <v>47054</v>
      </c>
      <c r="I24" s="110">
        <v>134</v>
      </c>
      <c r="J24" s="110">
        <v>47425</v>
      </c>
      <c r="K24" s="110">
        <v>194</v>
      </c>
      <c r="L24" s="110">
        <v>194</v>
      </c>
      <c r="M24" s="112">
        <v>74.69</v>
      </c>
      <c r="N24" s="114" t="s">
        <v>452</v>
      </c>
      <c r="O24" s="109">
        <v>463</v>
      </c>
      <c r="P24" s="105"/>
      <c r="Q24" s="106"/>
    </row>
    <row r="25" spans="1:17" ht="10.5" customHeight="1">
      <c r="A25" s="89"/>
      <c r="B25" s="90"/>
      <c r="C25" s="94">
        <v>464</v>
      </c>
      <c r="D25" s="81" t="s">
        <v>399</v>
      </c>
      <c r="E25" s="83">
        <v>70879</v>
      </c>
      <c r="F25" s="86">
        <v>519678</v>
      </c>
      <c r="G25" s="86">
        <v>50192</v>
      </c>
      <c r="H25" s="86">
        <v>518682</v>
      </c>
      <c r="I25" s="110">
        <v>45437</v>
      </c>
      <c r="J25" s="110">
        <v>610968</v>
      </c>
      <c r="K25" s="110">
        <v>55153</v>
      </c>
      <c r="L25" s="110">
        <v>55153</v>
      </c>
      <c r="M25" s="112">
        <v>46.53</v>
      </c>
      <c r="N25" s="114" t="s">
        <v>453</v>
      </c>
      <c r="O25" s="109">
        <v>464</v>
      </c>
      <c r="P25" s="105"/>
      <c r="Q25" s="106"/>
    </row>
    <row r="26" spans="1:17" ht="20.100000000000001" customHeight="1">
      <c r="A26" s="89"/>
      <c r="B26" s="90"/>
      <c r="C26" s="94">
        <v>465</v>
      </c>
      <c r="D26" s="81" t="s">
        <v>400</v>
      </c>
      <c r="E26" s="83">
        <v>15455</v>
      </c>
      <c r="F26" s="86">
        <v>146917</v>
      </c>
      <c r="G26" s="86">
        <v>4119</v>
      </c>
      <c r="H26" s="86">
        <v>146982</v>
      </c>
      <c r="I26" s="110">
        <v>3859</v>
      </c>
      <c r="J26" s="110">
        <v>164973</v>
      </c>
      <c r="K26" s="110">
        <v>16574</v>
      </c>
      <c r="L26" s="110">
        <v>16574</v>
      </c>
      <c r="M26" s="112">
        <v>402.89</v>
      </c>
      <c r="N26" s="114" t="s">
        <v>454</v>
      </c>
      <c r="O26" s="109">
        <v>465</v>
      </c>
      <c r="P26" s="105"/>
      <c r="Q26" s="106"/>
    </row>
    <row r="27" spans="1:17" ht="10.5" customHeight="1">
      <c r="A27" s="89"/>
      <c r="B27" s="90"/>
      <c r="C27" s="94">
        <v>469</v>
      </c>
      <c r="D27" s="81" t="s">
        <v>401</v>
      </c>
      <c r="E27" s="83">
        <v>22158</v>
      </c>
      <c r="F27" s="86">
        <v>69515</v>
      </c>
      <c r="G27" s="86">
        <v>2438</v>
      </c>
      <c r="H27" s="86">
        <v>67382</v>
      </c>
      <c r="I27" s="110">
        <v>2541</v>
      </c>
      <c r="J27" s="110">
        <v>73761</v>
      </c>
      <c r="K27" s="110">
        <v>3124</v>
      </c>
      <c r="L27" s="110">
        <v>3124</v>
      </c>
      <c r="M27" s="112">
        <v>79</v>
      </c>
      <c r="N27" s="114" t="s">
        <v>455</v>
      </c>
      <c r="O27" s="109">
        <v>469</v>
      </c>
      <c r="P27" s="105"/>
      <c r="Q27" s="106"/>
    </row>
    <row r="28" spans="1:17" ht="10.5" customHeight="1">
      <c r="A28" s="89"/>
      <c r="B28" s="93" t="s">
        <v>432</v>
      </c>
      <c r="C28" s="94"/>
      <c r="D28" s="81" t="s">
        <v>402</v>
      </c>
      <c r="E28" s="83">
        <v>401626</v>
      </c>
      <c r="F28" s="86">
        <v>932202</v>
      </c>
      <c r="G28" s="86">
        <v>29418</v>
      </c>
      <c r="H28" s="86">
        <v>963050</v>
      </c>
      <c r="I28" s="110">
        <v>27732</v>
      </c>
      <c r="J28" s="110">
        <v>1024100</v>
      </c>
      <c r="K28" s="110">
        <v>27896</v>
      </c>
      <c r="L28" s="110">
        <v>27896</v>
      </c>
      <c r="M28" s="112">
        <v>-9.33</v>
      </c>
      <c r="N28" s="114" t="s">
        <v>456</v>
      </c>
      <c r="O28" s="109"/>
      <c r="P28" s="108" t="s">
        <v>432</v>
      </c>
      <c r="Q28" s="106"/>
    </row>
    <row r="29" spans="1:17" ht="10.5" customHeight="1">
      <c r="A29" s="89"/>
      <c r="B29" s="90"/>
      <c r="C29" s="94">
        <v>471</v>
      </c>
      <c r="D29" s="81" t="s">
        <v>403</v>
      </c>
      <c r="E29" s="83">
        <v>37308</v>
      </c>
      <c r="F29" s="86">
        <v>269746</v>
      </c>
      <c r="G29" s="86">
        <v>1033</v>
      </c>
      <c r="H29" s="86">
        <v>273172</v>
      </c>
      <c r="I29" s="110">
        <v>1143</v>
      </c>
      <c r="J29" s="110">
        <v>285124</v>
      </c>
      <c r="K29" s="110">
        <v>1219</v>
      </c>
      <c r="L29" s="110">
        <v>1219</v>
      </c>
      <c r="M29" s="112">
        <v>-6.68</v>
      </c>
      <c r="N29" s="114" t="s">
        <v>457</v>
      </c>
      <c r="O29" s="109">
        <v>471</v>
      </c>
      <c r="P29" s="105"/>
      <c r="Q29" s="106"/>
    </row>
    <row r="30" spans="1:17" ht="20.100000000000001" customHeight="1">
      <c r="A30" s="89"/>
      <c r="B30" s="90"/>
      <c r="C30" s="94">
        <v>472</v>
      </c>
      <c r="D30" s="81" t="s">
        <v>404</v>
      </c>
      <c r="E30" s="83">
        <v>103283</v>
      </c>
      <c r="F30" s="86">
        <v>76034</v>
      </c>
      <c r="G30" s="86">
        <v>4254</v>
      </c>
      <c r="H30" s="86">
        <v>77351</v>
      </c>
      <c r="I30" s="110">
        <v>4424</v>
      </c>
      <c r="J30" s="110">
        <v>82228</v>
      </c>
      <c r="K30" s="110">
        <v>4282</v>
      </c>
      <c r="L30" s="110">
        <v>4282</v>
      </c>
      <c r="M30" s="112">
        <v>1.04</v>
      </c>
      <c r="N30" s="114" t="s">
        <v>458</v>
      </c>
      <c r="O30" s="109">
        <v>472</v>
      </c>
      <c r="P30" s="105"/>
      <c r="Q30" s="106"/>
    </row>
    <row r="31" spans="1:17" ht="10.5" customHeight="1">
      <c r="A31" s="89"/>
      <c r="B31" s="90"/>
      <c r="C31" s="94">
        <v>473</v>
      </c>
      <c r="D31" s="81" t="s">
        <v>405</v>
      </c>
      <c r="E31" s="83">
        <v>32439</v>
      </c>
      <c r="F31" s="86">
        <v>39140</v>
      </c>
      <c r="G31" s="86">
        <v>2222</v>
      </c>
      <c r="H31" s="86">
        <v>38292</v>
      </c>
      <c r="I31" s="110">
        <v>2117</v>
      </c>
      <c r="J31" s="110">
        <v>49367</v>
      </c>
      <c r="K31" s="110">
        <v>2085</v>
      </c>
      <c r="L31" s="110">
        <v>2085</v>
      </c>
      <c r="M31" s="112">
        <v>1.67</v>
      </c>
      <c r="N31" s="114" t="s">
        <v>459</v>
      </c>
      <c r="O31" s="109">
        <v>473</v>
      </c>
      <c r="P31" s="105"/>
      <c r="Q31" s="106"/>
    </row>
    <row r="32" spans="1:17" ht="20.100000000000001" customHeight="1">
      <c r="A32" s="89"/>
      <c r="B32" s="90"/>
      <c r="C32" s="94">
        <v>474</v>
      </c>
      <c r="D32" s="81" t="s">
        <v>406</v>
      </c>
      <c r="E32" s="83">
        <v>50334</v>
      </c>
      <c r="F32" s="86">
        <v>74202</v>
      </c>
      <c r="G32" s="86">
        <v>3489</v>
      </c>
      <c r="H32" s="86">
        <v>67704</v>
      </c>
      <c r="I32" s="110">
        <v>3411</v>
      </c>
      <c r="J32" s="110">
        <v>73639</v>
      </c>
      <c r="K32" s="110">
        <v>3400</v>
      </c>
      <c r="L32" s="110">
        <v>3400</v>
      </c>
      <c r="M32" s="112">
        <v>-2.06</v>
      </c>
      <c r="N32" s="114" t="s">
        <v>460</v>
      </c>
      <c r="O32" s="109">
        <v>474</v>
      </c>
      <c r="P32" s="105"/>
      <c r="Q32" s="106"/>
    </row>
    <row r="33" spans="1:17" ht="20.100000000000001" customHeight="1">
      <c r="A33" s="89"/>
      <c r="B33" s="90"/>
      <c r="C33" s="94">
        <v>475</v>
      </c>
      <c r="D33" s="81" t="s">
        <v>407</v>
      </c>
      <c r="E33" s="83">
        <v>25703</v>
      </c>
      <c r="F33" s="86">
        <v>40805</v>
      </c>
      <c r="G33" s="86">
        <v>1440</v>
      </c>
      <c r="H33" s="86">
        <v>41286</v>
      </c>
      <c r="I33" s="110">
        <v>1682</v>
      </c>
      <c r="J33" s="110">
        <v>44326</v>
      </c>
      <c r="K33" s="110">
        <v>1475</v>
      </c>
      <c r="L33" s="110">
        <v>1475</v>
      </c>
      <c r="M33" s="112">
        <v>6.45</v>
      </c>
      <c r="N33" s="114" t="s">
        <v>461</v>
      </c>
      <c r="O33" s="109">
        <v>475</v>
      </c>
      <c r="P33" s="105"/>
      <c r="Q33" s="106"/>
    </row>
    <row r="34" spans="1:17" ht="20.100000000000001" customHeight="1">
      <c r="A34" s="89"/>
      <c r="B34" s="90"/>
      <c r="C34" s="94">
        <v>476</v>
      </c>
      <c r="D34" s="81" t="s">
        <v>408</v>
      </c>
      <c r="E34" s="83">
        <v>14877</v>
      </c>
      <c r="F34" s="86">
        <v>15858</v>
      </c>
      <c r="G34" s="86">
        <v>894</v>
      </c>
      <c r="H34" s="86">
        <v>16565</v>
      </c>
      <c r="I34" s="110">
        <v>928</v>
      </c>
      <c r="J34" s="110">
        <v>18814</v>
      </c>
      <c r="K34" s="110">
        <v>950</v>
      </c>
      <c r="L34" s="110">
        <v>950</v>
      </c>
      <c r="M34" s="112">
        <v>-11.28</v>
      </c>
      <c r="N34" s="114" t="s">
        <v>462</v>
      </c>
      <c r="O34" s="109">
        <v>476</v>
      </c>
      <c r="P34" s="105"/>
      <c r="Q34" s="106"/>
    </row>
    <row r="35" spans="1:17" ht="10.5" customHeight="1">
      <c r="A35" s="89"/>
      <c r="B35" s="90"/>
      <c r="C35" s="94">
        <v>481</v>
      </c>
      <c r="D35" s="81" t="s">
        <v>409</v>
      </c>
      <c r="E35" s="83">
        <v>10946</v>
      </c>
      <c r="F35" s="86">
        <v>17960</v>
      </c>
      <c r="G35" s="86">
        <v>595</v>
      </c>
      <c r="H35" s="86">
        <v>17578</v>
      </c>
      <c r="I35" s="110">
        <v>558</v>
      </c>
      <c r="J35" s="110">
        <v>20036</v>
      </c>
      <c r="K35" s="110">
        <v>545</v>
      </c>
      <c r="L35" s="110">
        <v>545</v>
      </c>
      <c r="M35" s="112">
        <v>4.3499999999999996</v>
      </c>
      <c r="N35" s="114" t="s">
        <v>463</v>
      </c>
      <c r="O35" s="109">
        <v>481</v>
      </c>
      <c r="P35" s="105"/>
      <c r="Q35" s="106"/>
    </row>
    <row r="36" spans="1:17" ht="10.5" customHeight="1">
      <c r="A36" s="89"/>
      <c r="B36" s="90"/>
      <c r="C36" s="94">
        <v>482</v>
      </c>
      <c r="D36" s="81" t="s">
        <v>410</v>
      </c>
      <c r="E36" s="83">
        <v>5658</v>
      </c>
      <c r="F36" s="86">
        <v>103646</v>
      </c>
      <c r="G36" s="86">
        <v>939</v>
      </c>
      <c r="H36" s="86">
        <v>108539</v>
      </c>
      <c r="I36" s="110">
        <v>915</v>
      </c>
      <c r="J36" s="110">
        <v>108643</v>
      </c>
      <c r="K36" s="110">
        <v>916</v>
      </c>
      <c r="L36" s="110">
        <v>916</v>
      </c>
      <c r="M36" s="112">
        <v>-13.57</v>
      </c>
      <c r="N36" s="114" t="s">
        <v>464</v>
      </c>
      <c r="O36" s="109">
        <v>482</v>
      </c>
      <c r="P36" s="105"/>
      <c r="Q36" s="106"/>
    </row>
    <row r="37" spans="1:17" ht="20.100000000000001" customHeight="1">
      <c r="A37" s="89"/>
      <c r="B37" s="90"/>
      <c r="C37" s="94">
        <v>483</v>
      </c>
      <c r="D37" s="81" t="s">
        <v>411</v>
      </c>
      <c r="E37" s="83">
        <v>13410</v>
      </c>
      <c r="F37" s="86">
        <v>77374</v>
      </c>
      <c r="G37" s="86">
        <v>7596</v>
      </c>
      <c r="H37" s="86">
        <v>110190</v>
      </c>
      <c r="I37" s="110">
        <v>5752</v>
      </c>
      <c r="J37" s="110">
        <v>97980</v>
      </c>
      <c r="K37" s="110">
        <v>6721</v>
      </c>
      <c r="L37" s="110">
        <v>6721</v>
      </c>
      <c r="M37" s="112">
        <v>-28.77</v>
      </c>
      <c r="N37" s="114" t="s">
        <v>465</v>
      </c>
      <c r="O37" s="109">
        <v>483</v>
      </c>
      <c r="P37" s="105"/>
      <c r="Q37" s="106"/>
    </row>
    <row r="38" spans="1:17" ht="20.100000000000001" customHeight="1">
      <c r="A38" s="89"/>
      <c r="B38" s="90"/>
      <c r="C38" s="94">
        <v>484</v>
      </c>
      <c r="D38" s="81" t="s">
        <v>412</v>
      </c>
      <c r="E38" s="83">
        <v>26146</v>
      </c>
      <c r="F38" s="86">
        <v>162533</v>
      </c>
      <c r="G38" s="86">
        <v>2159</v>
      </c>
      <c r="H38" s="86">
        <v>155452</v>
      </c>
      <c r="I38" s="110">
        <v>2139</v>
      </c>
      <c r="J38" s="110">
        <v>177396</v>
      </c>
      <c r="K38" s="110">
        <v>2118</v>
      </c>
      <c r="L38" s="110">
        <v>2118</v>
      </c>
      <c r="M38" s="112">
        <v>-1.32</v>
      </c>
      <c r="N38" s="114" t="s">
        <v>466</v>
      </c>
      <c r="O38" s="109">
        <v>484</v>
      </c>
      <c r="P38" s="105"/>
      <c r="Q38" s="106"/>
    </row>
    <row r="39" spans="1:17" ht="10.5" customHeight="1">
      <c r="A39" s="89"/>
      <c r="B39" s="90"/>
      <c r="C39" s="94">
        <v>485</v>
      </c>
      <c r="D39" s="81" t="s">
        <v>413</v>
      </c>
      <c r="E39" s="83">
        <v>26117</v>
      </c>
      <c r="F39" s="86">
        <v>12837</v>
      </c>
      <c r="G39" s="86">
        <v>1817</v>
      </c>
      <c r="H39" s="86">
        <v>13389</v>
      </c>
      <c r="I39" s="110">
        <v>1798</v>
      </c>
      <c r="J39" s="110">
        <v>14293</v>
      </c>
      <c r="K39" s="110">
        <v>1787</v>
      </c>
      <c r="L39" s="110">
        <v>1787</v>
      </c>
      <c r="M39" s="112">
        <v>-8.5399999999999991</v>
      </c>
      <c r="N39" s="114" t="s">
        <v>467</v>
      </c>
      <c r="O39" s="109">
        <v>485</v>
      </c>
      <c r="P39" s="105"/>
      <c r="Q39" s="106"/>
    </row>
    <row r="40" spans="1:17" ht="10.5" customHeight="1">
      <c r="A40" s="89"/>
      <c r="B40" s="90"/>
      <c r="C40" s="94">
        <v>486</v>
      </c>
      <c r="D40" s="81" t="s">
        <v>414</v>
      </c>
      <c r="E40" s="83">
        <v>3574</v>
      </c>
      <c r="F40" s="86">
        <v>430</v>
      </c>
      <c r="G40" s="86">
        <v>268</v>
      </c>
      <c r="H40" s="86">
        <v>442</v>
      </c>
      <c r="I40" s="110">
        <v>257</v>
      </c>
      <c r="J40" s="110">
        <v>439</v>
      </c>
      <c r="K40" s="110">
        <v>250</v>
      </c>
      <c r="L40" s="110">
        <v>250</v>
      </c>
      <c r="M40" s="112">
        <v>-1.72</v>
      </c>
      <c r="N40" s="114" t="s">
        <v>468</v>
      </c>
      <c r="O40" s="109">
        <v>486</v>
      </c>
      <c r="P40" s="105"/>
      <c r="Q40" s="106"/>
    </row>
    <row r="41" spans="1:17" ht="10.5" customHeight="1">
      <c r="A41" s="89"/>
      <c r="B41" s="90"/>
      <c r="C41" s="94">
        <v>487</v>
      </c>
      <c r="D41" s="81" t="s">
        <v>415</v>
      </c>
      <c r="E41" s="83">
        <v>51831</v>
      </c>
      <c r="F41" s="86">
        <v>41637</v>
      </c>
      <c r="G41" s="86">
        <v>2711</v>
      </c>
      <c r="H41" s="86">
        <v>43088</v>
      </c>
      <c r="I41" s="110">
        <v>2608</v>
      </c>
      <c r="J41" s="110">
        <v>51815</v>
      </c>
      <c r="K41" s="110">
        <v>2146</v>
      </c>
      <c r="L41" s="110">
        <v>2146</v>
      </c>
      <c r="M41" s="112">
        <v>14.8</v>
      </c>
      <c r="N41" s="114" t="s">
        <v>469</v>
      </c>
      <c r="O41" s="109">
        <v>487</v>
      </c>
      <c r="P41" s="105"/>
      <c r="Q41" s="106"/>
    </row>
    <row r="42" spans="1:17" ht="14.1" customHeight="1">
      <c r="A42" s="92" t="s">
        <v>433</v>
      </c>
      <c r="B42" s="90"/>
      <c r="C42" s="94"/>
      <c r="D42" s="82" t="s">
        <v>416</v>
      </c>
      <c r="E42" s="84">
        <v>37221</v>
      </c>
      <c r="F42" s="87">
        <v>232318</v>
      </c>
      <c r="G42" s="87">
        <v>19340</v>
      </c>
      <c r="H42" s="87">
        <v>220181</v>
      </c>
      <c r="I42" s="111">
        <v>19462</v>
      </c>
      <c r="J42" s="111">
        <v>382523</v>
      </c>
      <c r="K42" s="111">
        <v>20166</v>
      </c>
      <c r="L42" s="111">
        <v>20166</v>
      </c>
      <c r="M42" s="113">
        <v>-39.72</v>
      </c>
      <c r="N42" s="115" t="s">
        <v>470</v>
      </c>
      <c r="O42" s="109"/>
      <c r="P42" s="105"/>
      <c r="Q42" s="107" t="s">
        <v>433</v>
      </c>
    </row>
    <row r="43" spans="1:17" ht="10.5" customHeight="1">
      <c r="A43" s="89"/>
      <c r="B43" s="93">
        <v>49</v>
      </c>
      <c r="C43" s="94"/>
      <c r="D43" s="81" t="s">
        <v>417</v>
      </c>
      <c r="E43" s="83">
        <v>14955</v>
      </c>
      <c r="F43" s="86">
        <v>80282</v>
      </c>
      <c r="G43" s="86">
        <v>699</v>
      </c>
      <c r="H43" s="86">
        <v>79380</v>
      </c>
      <c r="I43" s="110">
        <v>747</v>
      </c>
      <c r="J43" s="110">
        <v>103829</v>
      </c>
      <c r="K43" s="110">
        <v>765</v>
      </c>
      <c r="L43" s="110">
        <v>765</v>
      </c>
      <c r="M43" s="112">
        <v>-8.2200000000000006</v>
      </c>
      <c r="N43" s="114" t="s">
        <v>471</v>
      </c>
      <c r="O43" s="109"/>
      <c r="P43" s="108">
        <v>49</v>
      </c>
      <c r="Q43" s="106"/>
    </row>
    <row r="44" spans="1:17" ht="10.5" customHeight="1">
      <c r="A44" s="89"/>
      <c r="B44" s="90"/>
      <c r="C44" s="94">
        <v>491</v>
      </c>
      <c r="D44" s="81" t="s">
        <v>418</v>
      </c>
      <c r="E44" s="83">
        <v>68</v>
      </c>
      <c r="F44" s="86">
        <v>10446</v>
      </c>
      <c r="G44" s="86">
        <v>0</v>
      </c>
      <c r="H44" s="86">
        <v>10514</v>
      </c>
      <c r="I44" s="110">
        <v>22</v>
      </c>
      <c r="J44" s="110">
        <v>11236</v>
      </c>
      <c r="K44" s="110">
        <v>0</v>
      </c>
      <c r="L44" s="110">
        <v>0</v>
      </c>
      <c r="M44" s="120">
        <v>0</v>
      </c>
      <c r="N44" s="114" t="s">
        <v>472</v>
      </c>
      <c r="O44" s="109">
        <v>491</v>
      </c>
      <c r="P44" s="105"/>
      <c r="Q44" s="106"/>
    </row>
    <row r="45" spans="1:17" ht="10.5" customHeight="1">
      <c r="A45" s="89"/>
      <c r="B45" s="90"/>
      <c r="C45" s="94">
        <v>492</v>
      </c>
      <c r="D45" s="81" t="s">
        <v>419</v>
      </c>
      <c r="E45" s="83">
        <v>186</v>
      </c>
      <c r="F45" s="86">
        <v>2826</v>
      </c>
      <c r="G45" s="88">
        <v>0</v>
      </c>
      <c r="H45" s="86">
        <v>2810</v>
      </c>
      <c r="I45" s="110">
        <v>0</v>
      </c>
      <c r="J45" s="110">
        <v>3452</v>
      </c>
      <c r="K45" s="116">
        <v>0</v>
      </c>
      <c r="L45" s="116">
        <v>0</v>
      </c>
      <c r="M45" s="117" t="s">
        <v>122</v>
      </c>
      <c r="N45" s="114" t="s">
        <v>473</v>
      </c>
      <c r="O45" s="109">
        <v>492</v>
      </c>
      <c r="P45" s="105"/>
      <c r="Q45" s="106"/>
    </row>
    <row r="46" spans="1:17" ht="10.5" customHeight="1">
      <c r="A46" s="89"/>
      <c r="B46" s="90"/>
      <c r="C46" s="94">
        <v>493</v>
      </c>
      <c r="D46" s="81" t="s">
        <v>420</v>
      </c>
      <c r="E46" s="83">
        <v>6742</v>
      </c>
      <c r="F46" s="86">
        <v>11386</v>
      </c>
      <c r="G46" s="86">
        <v>678</v>
      </c>
      <c r="H46" s="86">
        <v>12186</v>
      </c>
      <c r="I46" s="110">
        <v>688</v>
      </c>
      <c r="J46" s="110">
        <v>24246</v>
      </c>
      <c r="K46" s="110">
        <v>743</v>
      </c>
      <c r="L46" s="110">
        <v>743</v>
      </c>
      <c r="M46" s="112">
        <v>-7.34</v>
      </c>
      <c r="N46" s="114" t="s">
        <v>474</v>
      </c>
      <c r="O46" s="109">
        <v>493</v>
      </c>
      <c r="P46" s="105"/>
      <c r="Q46" s="106"/>
    </row>
    <row r="47" spans="1:17" ht="10.5" customHeight="1">
      <c r="A47" s="89"/>
      <c r="B47" s="90"/>
      <c r="C47" s="94">
        <v>494</v>
      </c>
      <c r="D47" s="81" t="s">
        <v>421</v>
      </c>
      <c r="E47" s="83">
        <v>7846</v>
      </c>
      <c r="F47" s="86">
        <v>55488</v>
      </c>
      <c r="G47" s="86">
        <v>19</v>
      </c>
      <c r="H47" s="86">
        <v>53732</v>
      </c>
      <c r="I47" s="110">
        <v>34</v>
      </c>
      <c r="J47" s="110">
        <v>64733</v>
      </c>
      <c r="K47" s="110">
        <v>19</v>
      </c>
      <c r="L47" s="110">
        <v>19</v>
      </c>
      <c r="M47" s="112">
        <v>-33.4</v>
      </c>
      <c r="N47" s="114" t="s">
        <v>475</v>
      </c>
      <c r="O47" s="109">
        <v>494</v>
      </c>
      <c r="P47" s="105"/>
      <c r="Q47" s="106"/>
    </row>
    <row r="48" spans="1:17" ht="10.5" customHeight="1">
      <c r="A48" s="89"/>
      <c r="B48" s="90"/>
      <c r="C48" s="94">
        <v>499</v>
      </c>
      <c r="D48" s="81" t="s">
        <v>422</v>
      </c>
      <c r="E48" s="83">
        <v>113</v>
      </c>
      <c r="F48" s="86">
        <v>137</v>
      </c>
      <c r="G48" s="86">
        <v>3</v>
      </c>
      <c r="H48" s="86">
        <v>138</v>
      </c>
      <c r="I48" s="110">
        <v>3</v>
      </c>
      <c r="J48" s="110">
        <v>161</v>
      </c>
      <c r="K48" s="110">
        <v>3</v>
      </c>
      <c r="L48" s="110">
        <v>3</v>
      </c>
      <c r="M48" s="112">
        <v>-4.12</v>
      </c>
      <c r="N48" s="114" t="s">
        <v>476</v>
      </c>
      <c r="O48" s="109">
        <v>499</v>
      </c>
      <c r="P48" s="105"/>
      <c r="Q48" s="106"/>
    </row>
    <row r="49" spans="1:17" ht="10.5" customHeight="1">
      <c r="A49" s="89"/>
      <c r="B49" s="93">
        <v>50</v>
      </c>
      <c r="C49" s="94"/>
      <c r="D49" s="81" t="s">
        <v>423</v>
      </c>
      <c r="E49" s="83">
        <v>429</v>
      </c>
      <c r="F49" s="86">
        <v>8719</v>
      </c>
      <c r="G49" s="86">
        <v>5169</v>
      </c>
      <c r="H49" s="86">
        <v>7929</v>
      </c>
      <c r="I49" s="110">
        <v>5000</v>
      </c>
      <c r="J49" s="110">
        <v>91019</v>
      </c>
      <c r="K49" s="110">
        <v>5413</v>
      </c>
      <c r="L49" s="110">
        <v>5413</v>
      </c>
      <c r="M49" s="112">
        <v>-74.61</v>
      </c>
      <c r="N49" s="114" t="s">
        <v>477</v>
      </c>
      <c r="O49" s="109"/>
      <c r="P49" s="108">
        <v>50</v>
      </c>
      <c r="Q49" s="106"/>
    </row>
    <row r="50" spans="1:17" ht="10.5" customHeight="1">
      <c r="A50" s="89"/>
      <c r="B50" s="90"/>
      <c r="C50" s="94">
        <v>501</v>
      </c>
      <c r="D50" s="81" t="s">
        <v>424</v>
      </c>
      <c r="E50" s="83">
        <v>357</v>
      </c>
      <c r="F50" s="86">
        <v>8536</v>
      </c>
      <c r="G50" s="86">
        <v>5167</v>
      </c>
      <c r="H50" s="86">
        <v>7668</v>
      </c>
      <c r="I50" s="110">
        <v>4998</v>
      </c>
      <c r="J50" s="110">
        <v>90722</v>
      </c>
      <c r="K50" s="110">
        <v>5411</v>
      </c>
      <c r="L50" s="110">
        <v>5411</v>
      </c>
      <c r="M50" s="112">
        <v>-74.61</v>
      </c>
      <c r="N50" s="114" t="s">
        <v>478</v>
      </c>
      <c r="O50" s="109">
        <v>501</v>
      </c>
      <c r="P50" s="105"/>
      <c r="Q50" s="106"/>
    </row>
    <row r="51" spans="1:17" ht="10.5" customHeight="1">
      <c r="A51" s="89"/>
      <c r="B51" s="90"/>
      <c r="C51" s="94">
        <v>502</v>
      </c>
      <c r="D51" s="81" t="s">
        <v>425</v>
      </c>
      <c r="E51" s="83">
        <v>72</v>
      </c>
      <c r="F51" s="86">
        <v>183</v>
      </c>
      <c r="G51" s="86">
        <v>2</v>
      </c>
      <c r="H51" s="86">
        <v>260</v>
      </c>
      <c r="I51" s="110">
        <v>2</v>
      </c>
      <c r="J51" s="110">
        <v>296</v>
      </c>
      <c r="K51" s="110">
        <v>2</v>
      </c>
      <c r="L51" s="110">
        <v>2</v>
      </c>
      <c r="M51" s="112">
        <v>-1.7</v>
      </c>
      <c r="N51" s="114" t="s">
        <v>479</v>
      </c>
      <c r="O51" s="109">
        <v>502</v>
      </c>
      <c r="P51" s="105"/>
      <c r="Q51" s="106"/>
    </row>
    <row r="52" spans="1:17" ht="10.5" customHeight="1">
      <c r="A52" s="89"/>
      <c r="B52" s="93">
        <v>51</v>
      </c>
      <c r="C52" s="94"/>
      <c r="D52" s="81" t="s">
        <v>426</v>
      </c>
      <c r="E52" s="83">
        <v>151</v>
      </c>
      <c r="F52" s="86">
        <v>34497</v>
      </c>
      <c r="G52" s="86">
        <v>9055</v>
      </c>
      <c r="H52" s="86">
        <v>30332</v>
      </c>
      <c r="I52" s="110">
        <v>8505</v>
      </c>
      <c r="J52" s="110">
        <v>33791</v>
      </c>
      <c r="K52" s="110">
        <v>8698</v>
      </c>
      <c r="L52" s="110">
        <v>8698</v>
      </c>
      <c r="M52" s="112">
        <v>42.51</v>
      </c>
      <c r="N52" s="114" t="s">
        <v>480</v>
      </c>
      <c r="O52" s="109"/>
      <c r="P52" s="108">
        <v>51</v>
      </c>
      <c r="Q52" s="106"/>
    </row>
    <row r="53" spans="1:17" ht="10.5" customHeight="1">
      <c r="A53" s="89"/>
      <c r="B53" s="90"/>
      <c r="C53" s="94">
        <v>510</v>
      </c>
      <c r="D53" s="81" t="s">
        <v>427</v>
      </c>
      <c r="E53" s="83">
        <v>151</v>
      </c>
      <c r="F53" s="86">
        <v>34497</v>
      </c>
      <c r="G53" s="86">
        <v>9055</v>
      </c>
      <c r="H53" s="86">
        <v>30332</v>
      </c>
      <c r="I53" s="110">
        <v>8505</v>
      </c>
      <c r="J53" s="110">
        <v>33791</v>
      </c>
      <c r="K53" s="110">
        <v>8698</v>
      </c>
      <c r="L53" s="110">
        <v>8698</v>
      </c>
      <c r="M53" s="112">
        <v>42.51</v>
      </c>
      <c r="N53" s="114" t="s">
        <v>481</v>
      </c>
      <c r="O53" s="109">
        <v>510</v>
      </c>
      <c r="P53" s="105"/>
      <c r="Q53" s="106"/>
    </row>
    <row r="54" spans="1:17" ht="10.5" customHeight="1">
      <c r="A54" s="89"/>
      <c r="B54" s="93">
        <v>52</v>
      </c>
      <c r="C54" s="94"/>
      <c r="D54" s="81" t="s">
        <v>428</v>
      </c>
      <c r="E54" s="83">
        <v>19718</v>
      </c>
      <c r="F54" s="86">
        <v>83174</v>
      </c>
      <c r="G54" s="86">
        <v>4255</v>
      </c>
      <c r="H54" s="86">
        <v>78086</v>
      </c>
      <c r="I54" s="110">
        <v>5043</v>
      </c>
      <c r="J54" s="110">
        <v>122866</v>
      </c>
      <c r="K54" s="110">
        <v>5153</v>
      </c>
      <c r="L54" s="110">
        <v>5153</v>
      </c>
      <c r="M54" s="112">
        <v>3.4</v>
      </c>
      <c r="N54" s="114" t="s">
        <v>482</v>
      </c>
      <c r="O54" s="109"/>
      <c r="P54" s="108">
        <v>52</v>
      </c>
      <c r="Q54" s="106"/>
    </row>
    <row r="55" spans="1:17" ht="10.5" customHeight="1">
      <c r="A55" s="89"/>
      <c r="B55" s="90"/>
      <c r="C55" s="94">
        <v>521</v>
      </c>
      <c r="D55" s="81" t="s">
        <v>429</v>
      </c>
      <c r="E55" s="83">
        <v>1172</v>
      </c>
      <c r="F55" s="86">
        <v>8101</v>
      </c>
      <c r="G55" s="86">
        <v>26</v>
      </c>
      <c r="H55" s="86">
        <v>6493</v>
      </c>
      <c r="I55" s="110">
        <v>24</v>
      </c>
      <c r="J55" s="110">
        <v>9032</v>
      </c>
      <c r="K55" s="110">
        <v>26</v>
      </c>
      <c r="L55" s="110">
        <v>26</v>
      </c>
      <c r="M55" s="112">
        <v>-24.12</v>
      </c>
      <c r="N55" s="114" t="s">
        <v>483</v>
      </c>
      <c r="O55" s="109">
        <v>521</v>
      </c>
      <c r="P55" s="105"/>
      <c r="Q55" s="106"/>
    </row>
    <row r="56" spans="1:17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11"/>
      <c r="M56" s="37"/>
      <c r="N56" s="39"/>
      <c r="O56" s="9"/>
      <c r="P56" s="9"/>
      <c r="Q56" s="7"/>
    </row>
    <row r="58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541</v>
      </c>
      <c r="B1" s="48"/>
      <c r="C1" s="48"/>
      <c r="D1" s="48"/>
      <c r="E1" s="48"/>
      <c r="F1" s="48"/>
      <c r="G1" s="48"/>
      <c r="H1" s="48"/>
      <c r="I1" s="47" t="s">
        <v>595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9</v>
      </c>
      <c r="E3" s="21" t="s">
        <v>10</v>
      </c>
      <c r="F3" s="53" t="s">
        <v>11</v>
      </c>
      <c r="G3" s="54"/>
      <c r="H3" s="55"/>
      <c r="I3" s="78" t="s">
        <v>12</v>
      </c>
      <c r="J3" s="78"/>
      <c r="K3" s="78"/>
      <c r="L3" s="78"/>
      <c r="M3" s="79"/>
      <c r="N3" s="75" t="s">
        <v>13</v>
      </c>
      <c r="O3" s="74" t="s">
        <v>14</v>
      </c>
      <c r="P3" s="70" t="s">
        <v>15</v>
      </c>
      <c r="Q3" s="49" t="s">
        <v>16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8" t="s">
        <v>106</v>
      </c>
      <c r="L5" s="118" t="s">
        <v>167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522</v>
      </c>
      <c r="D8" s="81" t="s">
        <v>540</v>
      </c>
      <c r="E8" s="83">
        <v>328</v>
      </c>
      <c r="F8" s="86">
        <v>9162</v>
      </c>
      <c r="G8" s="86">
        <v>3402</v>
      </c>
      <c r="H8" s="86">
        <v>8498</v>
      </c>
      <c r="I8" s="110">
        <v>3523</v>
      </c>
      <c r="J8" s="110">
        <v>38171</v>
      </c>
      <c r="K8" s="110">
        <v>4060</v>
      </c>
      <c r="L8" s="110">
        <v>4060</v>
      </c>
      <c r="M8" s="112">
        <v>-0.52</v>
      </c>
      <c r="N8" s="114" t="s">
        <v>542</v>
      </c>
      <c r="O8" s="109">
        <v>522</v>
      </c>
      <c r="P8" s="105"/>
      <c r="Q8" s="106"/>
    </row>
    <row r="9" spans="1:17" ht="10.5" customHeight="1">
      <c r="A9" s="89"/>
      <c r="B9" s="90"/>
      <c r="C9" s="94">
        <v>523</v>
      </c>
      <c r="D9" s="81" t="s">
        <v>485</v>
      </c>
      <c r="E9" s="83">
        <v>1704</v>
      </c>
      <c r="F9" s="86">
        <v>25707</v>
      </c>
      <c r="G9" s="86">
        <v>370</v>
      </c>
      <c r="H9" s="86">
        <v>25531</v>
      </c>
      <c r="I9" s="110">
        <v>402</v>
      </c>
      <c r="J9" s="110">
        <v>27397</v>
      </c>
      <c r="K9" s="110">
        <v>334</v>
      </c>
      <c r="L9" s="110">
        <v>334</v>
      </c>
      <c r="M9" s="112">
        <v>-3.9</v>
      </c>
      <c r="N9" s="114" t="s">
        <v>543</v>
      </c>
      <c r="O9" s="109">
        <v>523</v>
      </c>
      <c r="P9" s="105"/>
      <c r="Q9" s="106"/>
    </row>
    <row r="10" spans="1:17" ht="10.5" customHeight="1">
      <c r="A10" s="89"/>
      <c r="B10" s="90"/>
      <c r="C10" s="94">
        <v>524</v>
      </c>
      <c r="D10" s="81" t="s">
        <v>486</v>
      </c>
      <c r="E10" s="83">
        <v>13502</v>
      </c>
      <c r="F10" s="86">
        <v>24997</v>
      </c>
      <c r="G10" s="86">
        <v>407</v>
      </c>
      <c r="H10" s="86">
        <v>23840</v>
      </c>
      <c r="I10" s="110">
        <v>402</v>
      </c>
      <c r="J10" s="110">
        <v>27457</v>
      </c>
      <c r="K10" s="110">
        <v>385</v>
      </c>
      <c r="L10" s="110">
        <v>385</v>
      </c>
      <c r="M10" s="112">
        <v>-15.12</v>
      </c>
      <c r="N10" s="114" t="s">
        <v>544</v>
      </c>
      <c r="O10" s="109">
        <v>524</v>
      </c>
      <c r="P10" s="105"/>
      <c r="Q10" s="106"/>
    </row>
    <row r="11" spans="1:17" ht="10.5" customHeight="1">
      <c r="A11" s="89"/>
      <c r="B11" s="90"/>
      <c r="C11" s="94">
        <v>525</v>
      </c>
      <c r="D11" s="81" t="s">
        <v>487</v>
      </c>
      <c r="E11" s="83">
        <v>617</v>
      </c>
      <c r="F11" s="86">
        <v>4377</v>
      </c>
      <c r="G11" s="86">
        <v>3</v>
      </c>
      <c r="H11" s="86">
        <v>4350</v>
      </c>
      <c r="I11" s="110">
        <v>6</v>
      </c>
      <c r="J11" s="110">
        <v>4450</v>
      </c>
      <c r="K11" s="110">
        <v>3</v>
      </c>
      <c r="L11" s="110">
        <v>3</v>
      </c>
      <c r="M11" s="112">
        <v>-77.150000000000006</v>
      </c>
      <c r="N11" s="114" t="s">
        <v>545</v>
      </c>
      <c r="O11" s="109">
        <v>525</v>
      </c>
      <c r="P11" s="105"/>
      <c r="Q11" s="106"/>
    </row>
    <row r="12" spans="1:17" ht="10.5" customHeight="1">
      <c r="A12" s="89"/>
      <c r="B12" s="90"/>
      <c r="C12" s="94">
        <v>526</v>
      </c>
      <c r="D12" s="81" t="s">
        <v>488</v>
      </c>
      <c r="E12" s="83">
        <v>41</v>
      </c>
      <c r="F12" s="86">
        <v>1382</v>
      </c>
      <c r="G12" s="88">
        <v>0</v>
      </c>
      <c r="H12" s="86">
        <v>1108</v>
      </c>
      <c r="I12" s="116">
        <v>0</v>
      </c>
      <c r="J12" s="110">
        <v>1218</v>
      </c>
      <c r="K12" s="116">
        <v>0</v>
      </c>
      <c r="L12" s="116">
        <v>0</v>
      </c>
      <c r="M12" s="120">
        <v>0</v>
      </c>
      <c r="N12" s="114" t="s">
        <v>546</v>
      </c>
      <c r="O12" s="109">
        <v>526</v>
      </c>
      <c r="P12" s="105"/>
      <c r="Q12" s="106"/>
    </row>
    <row r="13" spans="1:17" ht="10.5" customHeight="1">
      <c r="A13" s="89"/>
      <c r="B13" s="90"/>
      <c r="C13" s="94">
        <v>529</v>
      </c>
      <c r="D13" s="81" t="s">
        <v>489</v>
      </c>
      <c r="E13" s="83">
        <v>2354</v>
      </c>
      <c r="F13" s="86">
        <v>9448</v>
      </c>
      <c r="G13" s="86">
        <v>48</v>
      </c>
      <c r="H13" s="86">
        <v>8266</v>
      </c>
      <c r="I13" s="110">
        <v>687</v>
      </c>
      <c r="J13" s="110">
        <v>15141</v>
      </c>
      <c r="K13" s="110">
        <v>345</v>
      </c>
      <c r="L13" s="110">
        <v>345</v>
      </c>
      <c r="M13" s="112">
        <v>522.27</v>
      </c>
      <c r="N13" s="114" t="s">
        <v>547</v>
      </c>
      <c r="O13" s="109">
        <v>529</v>
      </c>
      <c r="P13" s="105"/>
      <c r="Q13" s="106"/>
    </row>
    <row r="14" spans="1:17" ht="10.5" customHeight="1">
      <c r="A14" s="89"/>
      <c r="B14" s="93">
        <v>53</v>
      </c>
      <c r="C14" s="94"/>
      <c r="D14" s="81" t="s">
        <v>490</v>
      </c>
      <c r="E14" s="83">
        <v>1066</v>
      </c>
      <c r="F14" s="86">
        <v>21627</v>
      </c>
      <c r="G14" s="86">
        <v>159</v>
      </c>
      <c r="H14" s="86">
        <v>20424</v>
      </c>
      <c r="I14" s="110">
        <v>146</v>
      </c>
      <c r="J14" s="110">
        <v>26708</v>
      </c>
      <c r="K14" s="110">
        <v>135</v>
      </c>
      <c r="L14" s="110">
        <v>135</v>
      </c>
      <c r="M14" s="112">
        <v>-38.14</v>
      </c>
      <c r="N14" s="114" t="s">
        <v>548</v>
      </c>
      <c r="O14" s="109"/>
      <c r="P14" s="108">
        <v>53</v>
      </c>
      <c r="Q14" s="106"/>
    </row>
    <row r="15" spans="1:17" ht="10.5" customHeight="1">
      <c r="A15" s="89"/>
      <c r="B15" s="90"/>
      <c r="C15" s="94">
        <v>530</v>
      </c>
      <c r="D15" s="81" t="s">
        <v>491</v>
      </c>
      <c r="E15" s="83">
        <v>1066</v>
      </c>
      <c r="F15" s="86">
        <v>21627</v>
      </c>
      <c r="G15" s="86">
        <v>159</v>
      </c>
      <c r="H15" s="86">
        <v>20424</v>
      </c>
      <c r="I15" s="110">
        <v>146</v>
      </c>
      <c r="J15" s="110">
        <v>26708</v>
      </c>
      <c r="K15" s="110">
        <v>135</v>
      </c>
      <c r="L15" s="110">
        <v>135</v>
      </c>
      <c r="M15" s="112">
        <v>-38.14</v>
      </c>
      <c r="N15" s="114" t="s">
        <v>549</v>
      </c>
      <c r="O15" s="109">
        <v>530</v>
      </c>
      <c r="P15" s="105"/>
      <c r="Q15" s="106"/>
    </row>
    <row r="16" spans="1:17" ht="10.5" customHeight="1">
      <c r="A16" s="89"/>
      <c r="B16" s="93">
        <v>54</v>
      </c>
      <c r="C16" s="94"/>
      <c r="D16" s="81" t="s">
        <v>492</v>
      </c>
      <c r="E16" s="83">
        <v>902</v>
      </c>
      <c r="F16" s="86">
        <v>4019</v>
      </c>
      <c r="G16" s="86">
        <v>2</v>
      </c>
      <c r="H16" s="86">
        <v>4031</v>
      </c>
      <c r="I16" s="110">
        <v>21</v>
      </c>
      <c r="J16" s="110">
        <v>4310</v>
      </c>
      <c r="K16" s="110">
        <v>2</v>
      </c>
      <c r="L16" s="110">
        <v>2</v>
      </c>
      <c r="M16" s="112">
        <v>-11.84</v>
      </c>
      <c r="N16" s="114" t="s">
        <v>550</v>
      </c>
      <c r="O16" s="109"/>
      <c r="P16" s="108">
        <v>54</v>
      </c>
      <c r="Q16" s="106"/>
    </row>
    <row r="17" spans="1:17" ht="10.5" customHeight="1">
      <c r="A17" s="89"/>
      <c r="B17" s="90"/>
      <c r="C17" s="94">
        <v>541</v>
      </c>
      <c r="D17" s="81" t="s">
        <v>493</v>
      </c>
      <c r="E17" s="83">
        <v>557</v>
      </c>
      <c r="F17" s="86">
        <v>2362</v>
      </c>
      <c r="G17" s="86">
        <v>1</v>
      </c>
      <c r="H17" s="86">
        <v>2301</v>
      </c>
      <c r="I17" s="110">
        <v>1</v>
      </c>
      <c r="J17" s="110">
        <v>2449</v>
      </c>
      <c r="K17" s="110">
        <v>1</v>
      </c>
      <c r="L17" s="110">
        <v>1</v>
      </c>
      <c r="M17" s="112">
        <v>-1.05</v>
      </c>
      <c r="N17" s="114" t="s">
        <v>551</v>
      </c>
      <c r="O17" s="109">
        <v>541</v>
      </c>
      <c r="P17" s="105"/>
      <c r="Q17" s="106"/>
    </row>
    <row r="18" spans="1:17" ht="10.5" customHeight="1">
      <c r="A18" s="89"/>
      <c r="B18" s="90"/>
      <c r="C18" s="94">
        <v>542</v>
      </c>
      <c r="D18" s="81" t="s">
        <v>494</v>
      </c>
      <c r="E18" s="83">
        <v>345</v>
      </c>
      <c r="F18" s="86">
        <v>1657</v>
      </c>
      <c r="G18" s="86">
        <v>2</v>
      </c>
      <c r="H18" s="86">
        <v>1730</v>
      </c>
      <c r="I18" s="110">
        <v>20</v>
      </c>
      <c r="J18" s="110">
        <v>1862</v>
      </c>
      <c r="K18" s="110">
        <v>2</v>
      </c>
      <c r="L18" s="110">
        <v>2</v>
      </c>
      <c r="M18" s="112">
        <v>-16.12</v>
      </c>
      <c r="N18" s="114" t="s">
        <v>552</v>
      </c>
      <c r="O18" s="109">
        <v>542</v>
      </c>
      <c r="P18" s="105"/>
      <c r="Q18" s="106"/>
    </row>
    <row r="19" spans="1:17" ht="14.1" customHeight="1">
      <c r="A19" s="92" t="s">
        <v>537</v>
      </c>
      <c r="B19" s="90"/>
      <c r="C19" s="94"/>
      <c r="D19" s="82" t="s">
        <v>495</v>
      </c>
      <c r="E19" s="84">
        <v>182163</v>
      </c>
      <c r="F19" s="87">
        <v>147308</v>
      </c>
      <c r="G19" s="87">
        <v>15423</v>
      </c>
      <c r="H19" s="87">
        <v>142342</v>
      </c>
      <c r="I19" s="111">
        <v>15903</v>
      </c>
      <c r="J19" s="111">
        <v>156003</v>
      </c>
      <c r="K19" s="111">
        <v>14947</v>
      </c>
      <c r="L19" s="111">
        <v>14947</v>
      </c>
      <c r="M19" s="113">
        <v>4.2699999999999996</v>
      </c>
      <c r="N19" s="115" t="s">
        <v>553</v>
      </c>
      <c r="O19" s="109"/>
      <c r="P19" s="105"/>
      <c r="Q19" s="107" t="s">
        <v>537</v>
      </c>
    </row>
    <row r="20" spans="1:17" ht="10.5" customHeight="1">
      <c r="A20" s="89"/>
      <c r="B20" s="93">
        <v>55</v>
      </c>
      <c r="C20" s="94"/>
      <c r="D20" s="81" t="s">
        <v>496</v>
      </c>
      <c r="E20" s="83">
        <v>13205</v>
      </c>
      <c r="F20" s="86">
        <v>26863</v>
      </c>
      <c r="G20" s="86">
        <v>571</v>
      </c>
      <c r="H20" s="86">
        <v>26062</v>
      </c>
      <c r="I20" s="110">
        <v>579</v>
      </c>
      <c r="J20" s="110">
        <v>34991</v>
      </c>
      <c r="K20" s="110">
        <v>533</v>
      </c>
      <c r="L20" s="110">
        <v>533</v>
      </c>
      <c r="M20" s="112">
        <v>-7.87</v>
      </c>
      <c r="N20" s="114" t="s">
        <v>554</v>
      </c>
      <c r="O20" s="109"/>
      <c r="P20" s="108">
        <v>55</v>
      </c>
      <c r="Q20" s="106"/>
    </row>
    <row r="21" spans="1:17" ht="10.5" customHeight="1">
      <c r="A21" s="89"/>
      <c r="B21" s="90"/>
      <c r="C21" s="94">
        <v>551</v>
      </c>
      <c r="D21" s="81" t="s">
        <v>497</v>
      </c>
      <c r="E21" s="83">
        <v>10757</v>
      </c>
      <c r="F21" s="86">
        <v>26218</v>
      </c>
      <c r="G21" s="86">
        <v>449</v>
      </c>
      <c r="H21" s="86">
        <v>25445</v>
      </c>
      <c r="I21" s="110">
        <v>454</v>
      </c>
      <c r="J21" s="110">
        <v>34192</v>
      </c>
      <c r="K21" s="110">
        <v>408</v>
      </c>
      <c r="L21" s="110">
        <v>408</v>
      </c>
      <c r="M21" s="112">
        <v>-12.24</v>
      </c>
      <c r="N21" s="114" t="s">
        <v>555</v>
      </c>
      <c r="O21" s="109">
        <v>551</v>
      </c>
      <c r="P21" s="105"/>
      <c r="Q21" s="106"/>
    </row>
    <row r="22" spans="1:17" ht="10.5" customHeight="1">
      <c r="A22" s="89"/>
      <c r="B22" s="90"/>
      <c r="C22" s="94">
        <v>559</v>
      </c>
      <c r="D22" s="81" t="s">
        <v>498</v>
      </c>
      <c r="E22" s="83">
        <v>2448</v>
      </c>
      <c r="F22" s="86">
        <v>645</v>
      </c>
      <c r="G22" s="86">
        <v>122</v>
      </c>
      <c r="H22" s="86">
        <v>617</v>
      </c>
      <c r="I22" s="110">
        <v>126</v>
      </c>
      <c r="J22" s="110">
        <v>799</v>
      </c>
      <c r="K22" s="110">
        <v>125</v>
      </c>
      <c r="L22" s="110">
        <v>125</v>
      </c>
      <c r="M22" s="112">
        <v>10.08</v>
      </c>
      <c r="N22" s="114" t="s">
        <v>556</v>
      </c>
      <c r="O22" s="109">
        <v>559</v>
      </c>
      <c r="P22" s="105"/>
      <c r="Q22" s="106"/>
    </row>
    <row r="23" spans="1:17" ht="10.5" customHeight="1">
      <c r="A23" s="89"/>
      <c r="B23" s="93">
        <v>56</v>
      </c>
      <c r="C23" s="94"/>
      <c r="D23" s="81" t="s">
        <v>499</v>
      </c>
      <c r="E23" s="83">
        <v>168958</v>
      </c>
      <c r="F23" s="86">
        <v>120445</v>
      </c>
      <c r="G23" s="86">
        <v>14853</v>
      </c>
      <c r="H23" s="86">
        <v>116280</v>
      </c>
      <c r="I23" s="110">
        <v>15324</v>
      </c>
      <c r="J23" s="110">
        <v>121012</v>
      </c>
      <c r="K23" s="110">
        <v>14413</v>
      </c>
      <c r="L23" s="110">
        <v>14413</v>
      </c>
      <c r="M23" s="112">
        <v>4.79</v>
      </c>
      <c r="N23" s="114" t="s">
        <v>557</v>
      </c>
      <c r="O23" s="109"/>
      <c r="P23" s="108">
        <v>56</v>
      </c>
      <c r="Q23" s="106"/>
    </row>
    <row r="24" spans="1:17" ht="10.5" customHeight="1">
      <c r="A24" s="89"/>
      <c r="B24" s="90"/>
      <c r="C24" s="94">
        <v>561</v>
      </c>
      <c r="D24" s="81" t="s">
        <v>500</v>
      </c>
      <c r="E24" s="83">
        <v>138275</v>
      </c>
      <c r="F24" s="86">
        <v>100885</v>
      </c>
      <c r="G24" s="86">
        <v>12821</v>
      </c>
      <c r="H24" s="86">
        <v>96829</v>
      </c>
      <c r="I24" s="110">
        <v>13159</v>
      </c>
      <c r="J24" s="110">
        <v>101030</v>
      </c>
      <c r="K24" s="110">
        <v>12409</v>
      </c>
      <c r="L24" s="110">
        <v>12409</v>
      </c>
      <c r="M24" s="112">
        <v>5.05</v>
      </c>
      <c r="N24" s="114" t="s">
        <v>558</v>
      </c>
      <c r="O24" s="109">
        <v>561</v>
      </c>
      <c r="P24" s="105"/>
      <c r="Q24" s="106"/>
    </row>
    <row r="25" spans="1:17" ht="10.5" customHeight="1">
      <c r="A25" s="89"/>
      <c r="B25" s="90"/>
      <c r="C25" s="94">
        <v>562</v>
      </c>
      <c r="D25" s="81" t="s">
        <v>501</v>
      </c>
      <c r="E25" s="83">
        <v>2207</v>
      </c>
      <c r="F25" s="86">
        <v>3606</v>
      </c>
      <c r="G25" s="86">
        <v>458</v>
      </c>
      <c r="H25" s="86">
        <v>3801</v>
      </c>
      <c r="I25" s="110">
        <v>578</v>
      </c>
      <c r="J25" s="110">
        <v>4363</v>
      </c>
      <c r="K25" s="110">
        <v>467</v>
      </c>
      <c r="L25" s="110">
        <v>467</v>
      </c>
      <c r="M25" s="112">
        <v>3.58</v>
      </c>
      <c r="N25" s="114" t="s">
        <v>559</v>
      </c>
      <c r="O25" s="109">
        <v>562</v>
      </c>
      <c r="P25" s="105"/>
      <c r="Q25" s="106"/>
    </row>
    <row r="26" spans="1:17" ht="10.5" customHeight="1">
      <c r="A26" s="89"/>
      <c r="B26" s="90"/>
      <c r="C26" s="94">
        <v>563</v>
      </c>
      <c r="D26" s="81" t="s">
        <v>502</v>
      </c>
      <c r="E26" s="83">
        <v>28476</v>
      </c>
      <c r="F26" s="86">
        <v>15954</v>
      </c>
      <c r="G26" s="86">
        <v>1574</v>
      </c>
      <c r="H26" s="86">
        <v>15649</v>
      </c>
      <c r="I26" s="110">
        <v>1587</v>
      </c>
      <c r="J26" s="110">
        <v>15620</v>
      </c>
      <c r="K26" s="110">
        <v>1538</v>
      </c>
      <c r="L26" s="110">
        <v>1538</v>
      </c>
      <c r="M26" s="112">
        <v>3.07</v>
      </c>
      <c r="N26" s="114" t="s">
        <v>560</v>
      </c>
      <c r="O26" s="109">
        <v>563</v>
      </c>
      <c r="P26" s="105"/>
      <c r="Q26" s="106"/>
    </row>
    <row r="27" spans="1:17" ht="14.1" customHeight="1">
      <c r="A27" s="92" t="s">
        <v>538</v>
      </c>
      <c r="B27" s="90"/>
      <c r="C27" s="94"/>
      <c r="D27" s="82" t="s">
        <v>503</v>
      </c>
      <c r="E27" s="84">
        <v>27087</v>
      </c>
      <c r="F27" s="87">
        <v>282723</v>
      </c>
      <c r="G27" s="87">
        <v>1625</v>
      </c>
      <c r="H27" s="87">
        <v>289657</v>
      </c>
      <c r="I27" s="111">
        <v>1396</v>
      </c>
      <c r="J27" s="111">
        <v>348513</v>
      </c>
      <c r="K27" s="111">
        <v>913</v>
      </c>
      <c r="L27" s="111">
        <v>913</v>
      </c>
      <c r="M27" s="113">
        <v>-14.24</v>
      </c>
      <c r="N27" s="115" t="s">
        <v>561</v>
      </c>
      <c r="O27" s="109"/>
      <c r="P27" s="105"/>
      <c r="Q27" s="107" t="s">
        <v>538</v>
      </c>
    </row>
    <row r="28" spans="1:17" ht="10.5" customHeight="1">
      <c r="A28" s="89"/>
      <c r="B28" s="93">
        <v>58</v>
      </c>
      <c r="C28" s="94"/>
      <c r="D28" s="81" t="s">
        <v>504</v>
      </c>
      <c r="E28" s="83">
        <v>4376</v>
      </c>
      <c r="F28" s="86">
        <v>11974</v>
      </c>
      <c r="G28" s="86">
        <v>38</v>
      </c>
      <c r="H28" s="86">
        <v>12530</v>
      </c>
      <c r="I28" s="110">
        <v>51</v>
      </c>
      <c r="J28" s="110">
        <v>14884</v>
      </c>
      <c r="K28" s="110">
        <v>21</v>
      </c>
      <c r="L28" s="110">
        <v>21</v>
      </c>
      <c r="M28" s="112">
        <v>-70.56</v>
      </c>
      <c r="N28" s="114" t="s">
        <v>562</v>
      </c>
      <c r="O28" s="109"/>
      <c r="P28" s="108">
        <v>58</v>
      </c>
      <c r="Q28" s="106"/>
    </row>
    <row r="29" spans="1:17" ht="20.100000000000001" customHeight="1">
      <c r="A29" s="89"/>
      <c r="B29" s="90"/>
      <c r="C29" s="94">
        <v>581</v>
      </c>
      <c r="D29" s="81" t="s">
        <v>505</v>
      </c>
      <c r="E29" s="83">
        <v>3768</v>
      </c>
      <c r="F29" s="86">
        <v>6907</v>
      </c>
      <c r="G29" s="86">
        <v>24</v>
      </c>
      <c r="H29" s="86">
        <v>7646</v>
      </c>
      <c r="I29" s="110">
        <v>50</v>
      </c>
      <c r="J29" s="110">
        <v>9205</v>
      </c>
      <c r="K29" s="110">
        <v>19</v>
      </c>
      <c r="L29" s="110">
        <v>19</v>
      </c>
      <c r="M29" s="112">
        <v>-54.72</v>
      </c>
      <c r="N29" s="114" t="s">
        <v>563</v>
      </c>
      <c r="O29" s="109">
        <v>581</v>
      </c>
      <c r="P29" s="105"/>
      <c r="Q29" s="106"/>
    </row>
    <row r="30" spans="1:17" ht="10.5" customHeight="1">
      <c r="A30" s="89"/>
      <c r="B30" s="90"/>
      <c r="C30" s="94">
        <v>582</v>
      </c>
      <c r="D30" s="81" t="s">
        <v>506</v>
      </c>
      <c r="E30" s="83">
        <v>608</v>
      </c>
      <c r="F30" s="86">
        <v>5067</v>
      </c>
      <c r="G30" s="86">
        <v>14</v>
      </c>
      <c r="H30" s="86">
        <v>4884</v>
      </c>
      <c r="I30" s="110">
        <v>1</v>
      </c>
      <c r="J30" s="110">
        <v>5679</v>
      </c>
      <c r="K30" s="110">
        <v>2</v>
      </c>
      <c r="L30" s="110">
        <v>2</v>
      </c>
      <c r="M30" s="112">
        <v>-92.45</v>
      </c>
      <c r="N30" s="114" t="s">
        <v>564</v>
      </c>
      <c r="O30" s="109">
        <v>582</v>
      </c>
      <c r="P30" s="105"/>
      <c r="Q30" s="106"/>
    </row>
    <row r="31" spans="1:17" ht="24.95" customHeight="1">
      <c r="A31" s="89"/>
      <c r="B31" s="93">
        <v>59</v>
      </c>
      <c r="C31" s="94"/>
      <c r="D31" s="81" t="s">
        <v>507</v>
      </c>
      <c r="E31" s="83">
        <v>5141</v>
      </c>
      <c r="F31" s="86">
        <v>37639</v>
      </c>
      <c r="G31" s="86">
        <v>96</v>
      </c>
      <c r="H31" s="86">
        <v>36122</v>
      </c>
      <c r="I31" s="110">
        <v>25</v>
      </c>
      <c r="J31" s="110">
        <v>48658</v>
      </c>
      <c r="K31" s="110">
        <v>41</v>
      </c>
      <c r="L31" s="110">
        <v>41</v>
      </c>
      <c r="M31" s="112">
        <v>-81.599999999999994</v>
      </c>
      <c r="N31" s="114" t="s">
        <v>565</v>
      </c>
      <c r="O31" s="109"/>
      <c r="P31" s="108">
        <v>59</v>
      </c>
      <c r="Q31" s="106"/>
    </row>
    <row r="32" spans="1:17" ht="10.5" customHeight="1">
      <c r="A32" s="89"/>
      <c r="B32" s="90"/>
      <c r="C32" s="94">
        <v>591</v>
      </c>
      <c r="D32" s="81" t="s">
        <v>508</v>
      </c>
      <c r="E32" s="83">
        <v>4027</v>
      </c>
      <c r="F32" s="86">
        <v>34907</v>
      </c>
      <c r="G32" s="86">
        <v>88</v>
      </c>
      <c r="H32" s="86">
        <v>32563</v>
      </c>
      <c r="I32" s="110">
        <v>21</v>
      </c>
      <c r="J32" s="110">
        <v>44859</v>
      </c>
      <c r="K32" s="110">
        <v>30</v>
      </c>
      <c r="L32" s="110">
        <v>30</v>
      </c>
      <c r="M32" s="112">
        <v>-86.15</v>
      </c>
      <c r="N32" s="114" t="s">
        <v>566</v>
      </c>
      <c r="O32" s="109">
        <v>591</v>
      </c>
      <c r="P32" s="105"/>
      <c r="Q32" s="106"/>
    </row>
    <row r="33" spans="1:17" ht="10.5" customHeight="1">
      <c r="A33" s="89"/>
      <c r="B33" s="90"/>
      <c r="C33" s="94">
        <v>592</v>
      </c>
      <c r="D33" s="81" t="s">
        <v>509</v>
      </c>
      <c r="E33" s="83">
        <v>1114</v>
      </c>
      <c r="F33" s="86">
        <v>2731</v>
      </c>
      <c r="G33" s="86">
        <v>8</v>
      </c>
      <c r="H33" s="86">
        <v>3559</v>
      </c>
      <c r="I33" s="110">
        <v>4</v>
      </c>
      <c r="J33" s="110">
        <v>3799</v>
      </c>
      <c r="K33" s="110">
        <v>11</v>
      </c>
      <c r="L33" s="110">
        <v>11</v>
      </c>
      <c r="M33" s="112">
        <v>162.76</v>
      </c>
      <c r="N33" s="114" t="s">
        <v>567</v>
      </c>
      <c r="O33" s="109">
        <v>592</v>
      </c>
      <c r="P33" s="105"/>
      <c r="Q33" s="106"/>
    </row>
    <row r="34" spans="1:17" ht="10.5" customHeight="1">
      <c r="A34" s="89"/>
      <c r="B34" s="93">
        <v>60</v>
      </c>
      <c r="C34" s="94"/>
      <c r="D34" s="81" t="s">
        <v>510</v>
      </c>
      <c r="E34" s="83">
        <v>279</v>
      </c>
      <c r="F34" s="86">
        <v>7790</v>
      </c>
      <c r="G34" s="86">
        <v>0</v>
      </c>
      <c r="H34" s="86">
        <v>7849</v>
      </c>
      <c r="I34" s="110">
        <v>1</v>
      </c>
      <c r="J34" s="110">
        <v>11647</v>
      </c>
      <c r="K34" s="110">
        <v>0</v>
      </c>
      <c r="L34" s="110">
        <v>0</v>
      </c>
      <c r="M34" s="112">
        <v>16.32</v>
      </c>
      <c r="N34" s="114" t="s">
        <v>568</v>
      </c>
      <c r="O34" s="109"/>
      <c r="P34" s="108">
        <v>60</v>
      </c>
      <c r="Q34" s="106"/>
    </row>
    <row r="35" spans="1:17" ht="10.5" customHeight="1">
      <c r="A35" s="89"/>
      <c r="B35" s="90"/>
      <c r="C35" s="94">
        <v>601</v>
      </c>
      <c r="D35" s="81" t="s">
        <v>511</v>
      </c>
      <c r="E35" s="83">
        <v>186</v>
      </c>
      <c r="F35" s="86">
        <v>501</v>
      </c>
      <c r="G35" s="86">
        <v>0</v>
      </c>
      <c r="H35" s="86">
        <v>484</v>
      </c>
      <c r="I35" s="110">
        <v>1</v>
      </c>
      <c r="J35" s="110">
        <v>631</v>
      </c>
      <c r="K35" s="110">
        <v>0</v>
      </c>
      <c r="L35" s="110">
        <v>0</v>
      </c>
      <c r="M35" s="112">
        <v>0.69</v>
      </c>
      <c r="N35" s="114" t="s">
        <v>569</v>
      </c>
      <c r="O35" s="109">
        <v>601</v>
      </c>
      <c r="P35" s="105"/>
      <c r="Q35" s="106"/>
    </row>
    <row r="36" spans="1:17" ht="10.5" customHeight="1">
      <c r="A36" s="89"/>
      <c r="B36" s="90"/>
      <c r="C36" s="94">
        <v>602</v>
      </c>
      <c r="D36" s="81" t="s">
        <v>512</v>
      </c>
      <c r="E36" s="83">
        <v>93</v>
      </c>
      <c r="F36" s="86">
        <v>7288</v>
      </c>
      <c r="G36" s="86">
        <v>0</v>
      </c>
      <c r="H36" s="86">
        <v>7365</v>
      </c>
      <c r="I36" s="110">
        <v>0</v>
      </c>
      <c r="J36" s="110">
        <v>11017</v>
      </c>
      <c r="K36" s="110">
        <v>0</v>
      </c>
      <c r="L36" s="110">
        <v>0</v>
      </c>
      <c r="M36" s="112">
        <v>120.28</v>
      </c>
      <c r="N36" s="114" t="s">
        <v>570</v>
      </c>
      <c r="O36" s="109">
        <v>602</v>
      </c>
      <c r="P36" s="105"/>
      <c r="Q36" s="106"/>
    </row>
    <row r="37" spans="1:17" ht="10.5" customHeight="1">
      <c r="A37" s="89"/>
      <c r="B37" s="93">
        <v>61</v>
      </c>
      <c r="C37" s="94"/>
      <c r="D37" s="81" t="s">
        <v>513</v>
      </c>
      <c r="E37" s="83">
        <v>1052</v>
      </c>
      <c r="F37" s="86">
        <v>64636</v>
      </c>
      <c r="G37" s="86">
        <v>136</v>
      </c>
      <c r="H37" s="86">
        <v>69728</v>
      </c>
      <c r="I37" s="110">
        <v>89</v>
      </c>
      <c r="J37" s="110">
        <v>79875</v>
      </c>
      <c r="K37" s="110">
        <v>101</v>
      </c>
      <c r="L37" s="110">
        <v>101</v>
      </c>
      <c r="M37" s="112">
        <v>-20.75</v>
      </c>
      <c r="N37" s="114" t="s">
        <v>571</v>
      </c>
      <c r="O37" s="109"/>
      <c r="P37" s="108">
        <v>61</v>
      </c>
      <c r="Q37" s="106"/>
    </row>
    <row r="38" spans="1:17" ht="10.5" customHeight="1">
      <c r="A38" s="89"/>
      <c r="B38" s="90"/>
      <c r="C38" s="94">
        <v>610</v>
      </c>
      <c r="D38" s="81" t="s">
        <v>514</v>
      </c>
      <c r="E38" s="83">
        <v>1052</v>
      </c>
      <c r="F38" s="86">
        <v>64636</v>
      </c>
      <c r="G38" s="86">
        <v>136</v>
      </c>
      <c r="H38" s="86">
        <v>69728</v>
      </c>
      <c r="I38" s="110">
        <v>89</v>
      </c>
      <c r="J38" s="110">
        <v>79875</v>
      </c>
      <c r="K38" s="110">
        <v>101</v>
      </c>
      <c r="L38" s="110">
        <v>101</v>
      </c>
      <c r="M38" s="112">
        <v>-20.75</v>
      </c>
      <c r="N38" s="114" t="s">
        <v>572</v>
      </c>
      <c r="O38" s="109">
        <v>610</v>
      </c>
      <c r="P38" s="105"/>
      <c r="Q38" s="106"/>
    </row>
    <row r="39" spans="1:17" ht="10.5" customHeight="1">
      <c r="A39" s="89"/>
      <c r="B39" s="93">
        <v>62</v>
      </c>
      <c r="C39" s="94"/>
      <c r="D39" s="81" t="s">
        <v>515</v>
      </c>
      <c r="E39" s="83">
        <v>7354</v>
      </c>
      <c r="F39" s="86">
        <v>49563</v>
      </c>
      <c r="G39" s="86">
        <v>637</v>
      </c>
      <c r="H39" s="86">
        <v>52543</v>
      </c>
      <c r="I39" s="110">
        <v>1004</v>
      </c>
      <c r="J39" s="110">
        <v>63770</v>
      </c>
      <c r="K39" s="110">
        <v>567</v>
      </c>
      <c r="L39" s="110">
        <v>567</v>
      </c>
      <c r="M39" s="112">
        <v>28.31</v>
      </c>
      <c r="N39" s="114" t="s">
        <v>573</v>
      </c>
      <c r="O39" s="109"/>
      <c r="P39" s="108">
        <v>62</v>
      </c>
      <c r="Q39" s="106"/>
    </row>
    <row r="40" spans="1:17" ht="10.5" customHeight="1">
      <c r="A40" s="89"/>
      <c r="B40" s="90"/>
      <c r="C40" s="94">
        <v>620</v>
      </c>
      <c r="D40" s="81" t="s">
        <v>516</v>
      </c>
      <c r="E40" s="83">
        <v>7354</v>
      </c>
      <c r="F40" s="86">
        <v>49563</v>
      </c>
      <c r="G40" s="86">
        <v>637</v>
      </c>
      <c r="H40" s="86">
        <v>52543</v>
      </c>
      <c r="I40" s="110">
        <v>1004</v>
      </c>
      <c r="J40" s="110">
        <v>63770</v>
      </c>
      <c r="K40" s="110">
        <v>567</v>
      </c>
      <c r="L40" s="110">
        <v>567</v>
      </c>
      <c r="M40" s="112">
        <v>28.31</v>
      </c>
      <c r="N40" s="114" t="s">
        <v>574</v>
      </c>
      <c r="O40" s="109">
        <v>620</v>
      </c>
      <c r="P40" s="105"/>
      <c r="Q40" s="106"/>
    </row>
    <row r="41" spans="1:17" ht="10.5" customHeight="1">
      <c r="A41" s="89"/>
      <c r="B41" s="93">
        <v>63</v>
      </c>
      <c r="C41" s="94"/>
      <c r="D41" s="81" t="s">
        <v>517</v>
      </c>
      <c r="E41" s="83">
        <v>8885</v>
      </c>
      <c r="F41" s="86">
        <v>111122</v>
      </c>
      <c r="G41" s="86">
        <v>718</v>
      </c>
      <c r="H41" s="86">
        <v>110885</v>
      </c>
      <c r="I41" s="110">
        <v>226</v>
      </c>
      <c r="J41" s="110">
        <v>129678</v>
      </c>
      <c r="K41" s="110">
        <v>182</v>
      </c>
      <c r="L41" s="110">
        <v>182</v>
      </c>
      <c r="M41" s="112">
        <v>-8.69</v>
      </c>
      <c r="N41" s="114" t="s">
        <v>575</v>
      </c>
      <c r="O41" s="109"/>
      <c r="P41" s="108">
        <v>63</v>
      </c>
      <c r="Q41" s="106"/>
    </row>
    <row r="42" spans="1:17" ht="24.95" customHeight="1">
      <c r="A42" s="89"/>
      <c r="B42" s="90"/>
      <c r="C42" s="94">
        <v>631</v>
      </c>
      <c r="D42" s="81" t="s">
        <v>518</v>
      </c>
      <c r="E42" s="83">
        <v>3324</v>
      </c>
      <c r="F42" s="86">
        <v>79182</v>
      </c>
      <c r="G42" s="86">
        <v>655</v>
      </c>
      <c r="H42" s="86">
        <v>78483</v>
      </c>
      <c r="I42" s="110">
        <v>137</v>
      </c>
      <c r="J42" s="110">
        <v>87140</v>
      </c>
      <c r="K42" s="110">
        <v>155</v>
      </c>
      <c r="L42" s="110">
        <v>155</v>
      </c>
      <c r="M42" s="112">
        <v>69.819999999999993</v>
      </c>
      <c r="N42" s="114" t="s">
        <v>576</v>
      </c>
      <c r="O42" s="109">
        <v>631</v>
      </c>
      <c r="P42" s="105"/>
      <c r="Q42" s="106"/>
    </row>
    <row r="43" spans="1:17" ht="10.5" customHeight="1">
      <c r="A43" s="89"/>
      <c r="B43" s="90"/>
      <c r="C43" s="94">
        <v>639</v>
      </c>
      <c r="D43" s="81" t="s">
        <v>519</v>
      </c>
      <c r="E43" s="83">
        <v>5561</v>
      </c>
      <c r="F43" s="86">
        <v>31939</v>
      </c>
      <c r="G43" s="86">
        <v>63</v>
      </c>
      <c r="H43" s="86">
        <v>32401</v>
      </c>
      <c r="I43" s="110">
        <v>89</v>
      </c>
      <c r="J43" s="110">
        <v>42538</v>
      </c>
      <c r="K43" s="110">
        <v>27</v>
      </c>
      <c r="L43" s="110">
        <v>27</v>
      </c>
      <c r="M43" s="112">
        <v>-75.040000000000006</v>
      </c>
      <c r="N43" s="114" t="s">
        <v>577</v>
      </c>
      <c r="O43" s="109">
        <v>639</v>
      </c>
      <c r="P43" s="105"/>
      <c r="Q43" s="106"/>
    </row>
    <row r="44" spans="1:17" ht="14.1" customHeight="1">
      <c r="A44" s="92" t="s">
        <v>539</v>
      </c>
      <c r="B44" s="90"/>
      <c r="C44" s="94"/>
      <c r="D44" s="82" t="s">
        <v>520</v>
      </c>
      <c r="E44" s="84">
        <v>48212</v>
      </c>
      <c r="F44" s="87">
        <v>595779</v>
      </c>
      <c r="G44" s="87">
        <v>609</v>
      </c>
      <c r="H44" s="87">
        <v>553147</v>
      </c>
      <c r="I44" s="111">
        <v>297</v>
      </c>
      <c r="J44" s="111">
        <v>976539</v>
      </c>
      <c r="K44" s="111">
        <v>245</v>
      </c>
      <c r="L44" s="111">
        <v>245</v>
      </c>
      <c r="M44" s="113">
        <v>-48.16</v>
      </c>
      <c r="N44" s="115" t="s">
        <v>578</v>
      </c>
      <c r="O44" s="109"/>
      <c r="P44" s="105"/>
      <c r="Q44" s="107" t="s">
        <v>539</v>
      </c>
    </row>
    <row r="45" spans="1:17" ht="10.5" customHeight="1">
      <c r="A45" s="89"/>
      <c r="B45" s="93">
        <v>64</v>
      </c>
      <c r="C45" s="94"/>
      <c r="D45" s="81" t="s">
        <v>521</v>
      </c>
      <c r="E45" s="83">
        <v>38030</v>
      </c>
      <c r="F45" s="86">
        <v>395823</v>
      </c>
      <c r="G45" s="86">
        <v>595</v>
      </c>
      <c r="H45" s="86">
        <v>371493</v>
      </c>
      <c r="I45" s="110">
        <v>245</v>
      </c>
      <c r="J45" s="110">
        <v>586984</v>
      </c>
      <c r="K45" s="110">
        <v>240</v>
      </c>
      <c r="L45" s="110">
        <v>240</v>
      </c>
      <c r="M45" s="112">
        <v>-29.29</v>
      </c>
      <c r="N45" s="114" t="s">
        <v>579</v>
      </c>
      <c r="O45" s="109"/>
      <c r="P45" s="108">
        <v>64</v>
      </c>
      <c r="Q45" s="106"/>
    </row>
    <row r="46" spans="1:17" ht="10.5" customHeight="1">
      <c r="A46" s="89"/>
      <c r="B46" s="90"/>
      <c r="C46" s="94">
        <v>641</v>
      </c>
      <c r="D46" s="81" t="s">
        <v>522</v>
      </c>
      <c r="E46" s="83">
        <v>4927</v>
      </c>
      <c r="F46" s="86">
        <v>332019</v>
      </c>
      <c r="G46" s="121">
        <v>0</v>
      </c>
      <c r="H46" s="86">
        <v>314889</v>
      </c>
      <c r="I46" s="110">
        <v>70</v>
      </c>
      <c r="J46" s="110">
        <v>307639</v>
      </c>
      <c r="K46" s="110">
        <v>-22</v>
      </c>
      <c r="L46" s="110">
        <v>-22</v>
      </c>
      <c r="M46" s="117" t="s">
        <v>122</v>
      </c>
      <c r="N46" s="114" t="s">
        <v>580</v>
      </c>
      <c r="O46" s="109">
        <v>641</v>
      </c>
      <c r="P46" s="105"/>
      <c r="Q46" s="106"/>
    </row>
    <row r="47" spans="1:17" ht="10.5" customHeight="1">
      <c r="A47" s="89"/>
      <c r="B47" s="90"/>
      <c r="C47" s="94">
        <v>642</v>
      </c>
      <c r="D47" s="81" t="s">
        <v>523</v>
      </c>
      <c r="E47" s="83">
        <v>59</v>
      </c>
      <c r="F47" s="86">
        <v>17114</v>
      </c>
      <c r="G47" s="86">
        <v>0</v>
      </c>
      <c r="H47" s="86">
        <v>10376</v>
      </c>
      <c r="I47" s="116">
        <v>0</v>
      </c>
      <c r="J47" s="110">
        <v>50279</v>
      </c>
      <c r="K47" s="116">
        <v>0</v>
      </c>
      <c r="L47" s="116">
        <v>0</v>
      </c>
      <c r="M47" s="117" t="s">
        <v>122</v>
      </c>
      <c r="N47" s="114" t="s">
        <v>581</v>
      </c>
      <c r="O47" s="109">
        <v>642</v>
      </c>
      <c r="P47" s="105"/>
      <c r="Q47" s="106"/>
    </row>
    <row r="48" spans="1:17" ht="10.5" customHeight="1">
      <c r="A48" s="89"/>
      <c r="B48" s="90"/>
      <c r="C48" s="94">
        <v>643</v>
      </c>
      <c r="D48" s="81" t="s">
        <v>524</v>
      </c>
      <c r="E48" s="83">
        <v>86</v>
      </c>
      <c r="F48" s="86">
        <v>390</v>
      </c>
      <c r="G48" s="88">
        <v>0</v>
      </c>
      <c r="H48" s="86">
        <v>492</v>
      </c>
      <c r="I48" s="116">
        <v>0</v>
      </c>
      <c r="J48" s="110">
        <v>459</v>
      </c>
      <c r="K48" s="116">
        <v>0</v>
      </c>
      <c r="L48" s="116">
        <v>0</v>
      </c>
      <c r="M48" s="120">
        <v>0</v>
      </c>
      <c r="N48" s="114" t="s">
        <v>582</v>
      </c>
      <c r="O48" s="109">
        <v>643</v>
      </c>
      <c r="P48" s="105"/>
      <c r="Q48" s="106"/>
    </row>
    <row r="49" spans="1:17" ht="10.5" customHeight="1">
      <c r="A49" s="89"/>
      <c r="B49" s="90"/>
      <c r="C49" s="94">
        <v>649</v>
      </c>
      <c r="D49" s="81" t="s">
        <v>525</v>
      </c>
      <c r="E49" s="83">
        <v>32958</v>
      </c>
      <c r="F49" s="86">
        <v>46300</v>
      </c>
      <c r="G49" s="86">
        <v>595</v>
      </c>
      <c r="H49" s="86">
        <v>45736</v>
      </c>
      <c r="I49" s="110">
        <v>176</v>
      </c>
      <c r="J49" s="110">
        <v>228608</v>
      </c>
      <c r="K49" s="110">
        <v>262</v>
      </c>
      <c r="L49" s="110">
        <v>262</v>
      </c>
      <c r="M49" s="112">
        <v>9.76</v>
      </c>
      <c r="N49" s="114" t="s">
        <v>583</v>
      </c>
      <c r="O49" s="109">
        <v>649</v>
      </c>
      <c r="P49" s="105"/>
      <c r="Q49" s="106"/>
    </row>
    <row r="50" spans="1:17" ht="10.5" customHeight="1">
      <c r="A50" s="89"/>
      <c r="B50" s="93">
        <v>65</v>
      </c>
      <c r="C50" s="94"/>
      <c r="D50" s="81" t="s">
        <v>526</v>
      </c>
      <c r="E50" s="83">
        <v>980</v>
      </c>
      <c r="F50" s="86">
        <v>101155</v>
      </c>
      <c r="G50" s="86">
        <v>6</v>
      </c>
      <c r="H50" s="86">
        <v>94775</v>
      </c>
      <c r="I50" s="110">
        <v>30</v>
      </c>
      <c r="J50" s="110">
        <v>242896</v>
      </c>
      <c r="K50" s="110">
        <v>0</v>
      </c>
      <c r="L50" s="110">
        <v>0</v>
      </c>
      <c r="M50" s="112">
        <v>-95.43</v>
      </c>
      <c r="N50" s="114" t="s">
        <v>584</v>
      </c>
      <c r="O50" s="109"/>
      <c r="P50" s="108">
        <v>65</v>
      </c>
      <c r="Q50" s="106"/>
    </row>
    <row r="51" spans="1:17" ht="10.5" customHeight="1">
      <c r="A51" s="89"/>
      <c r="B51" s="90"/>
      <c r="C51" s="94">
        <v>651</v>
      </c>
      <c r="D51" s="81" t="s">
        <v>527</v>
      </c>
      <c r="E51" s="83">
        <v>200</v>
      </c>
      <c r="F51" s="86">
        <v>61352</v>
      </c>
      <c r="G51" s="88">
        <v>0</v>
      </c>
      <c r="H51" s="86">
        <v>62655</v>
      </c>
      <c r="I51" s="116">
        <v>0</v>
      </c>
      <c r="J51" s="110">
        <v>211905</v>
      </c>
      <c r="K51" s="116">
        <v>0</v>
      </c>
      <c r="L51" s="116">
        <v>0</v>
      </c>
      <c r="M51" s="117" t="s">
        <v>122</v>
      </c>
      <c r="N51" s="114" t="s">
        <v>585</v>
      </c>
      <c r="O51" s="109">
        <v>651</v>
      </c>
      <c r="P51" s="105"/>
      <c r="Q51" s="106"/>
    </row>
    <row r="52" spans="1:17" ht="10.5" customHeight="1">
      <c r="A52" s="89"/>
      <c r="B52" s="90"/>
      <c r="C52" s="94">
        <v>652</v>
      </c>
      <c r="D52" s="81" t="s">
        <v>528</v>
      </c>
      <c r="E52" s="83">
        <v>188</v>
      </c>
      <c r="F52" s="86">
        <v>25492</v>
      </c>
      <c r="G52" s="86">
        <v>6</v>
      </c>
      <c r="H52" s="86">
        <v>17353</v>
      </c>
      <c r="I52" s="110">
        <v>30</v>
      </c>
      <c r="J52" s="110">
        <v>15181</v>
      </c>
      <c r="K52" s="116">
        <v>0</v>
      </c>
      <c r="L52" s="116">
        <v>0</v>
      </c>
      <c r="M52" s="117" t="s">
        <v>122</v>
      </c>
      <c r="N52" s="114" t="s">
        <v>586</v>
      </c>
      <c r="O52" s="109">
        <v>652</v>
      </c>
      <c r="P52" s="105"/>
      <c r="Q52" s="106"/>
    </row>
    <row r="53" spans="1:17" ht="10.5" customHeight="1">
      <c r="A53" s="89"/>
      <c r="B53" s="90"/>
      <c r="C53" s="94">
        <v>653</v>
      </c>
      <c r="D53" s="81" t="s">
        <v>529</v>
      </c>
      <c r="E53" s="83">
        <v>4</v>
      </c>
      <c r="F53" s="86">
        <v>3331</v>
      </c>
      <c r="G53" s="88">
        <v>0</v>
      </c>
      <c r="H53" s="86">
        <v>3242</v>
      </c>
      <c r="I53" s="116">
        <v>0</v>
      </c>
      <c r="J53" s="110">
        <v>4078</v>
      </c>
      <c r="K53" s="116">
        <v>0</v>
      </c>
      <c r="L53" s="116">
        <v>0</v>
      </c>
      <c r="M53" s="117" t="s">
        <v>122</v>
      </c>
      <c r="N53" s="114" t="s">
        <v>587</v>
      </c>
      <c r="O53" s="109">
        <v>653</v>
      </c>
      <c r="P53" s="105"/>
      <c r="Q53" s="106"/>
    </row>
    <row r="54" spans="1:17" ht="10.5" customHeight="1">
      <c r="A54" s="89"/>
      <c r="B54" s="90"/>
      <c r="C54" s="94">
        <v>654</v>
      </c>
      <c r="D54" s="81" t="s">
        <v>530</v>
      </c>
      <c r="E54" s="122">
        <v>0</v>
      </c>
      <c r="F54" s="88">
        <v>0</v>
      </c>
      <c r="G54" s="88">
        <v>0</v>
      </c>
      <c r="H54" s="88">
        <v>0</v>
      </c>
      <c r="I54" s="116">
        <v>0</v>
      </c>
      <c r="J54" s="116">
        <v>0</v>
      </c>
      <c r="K54" s="116">
        <v>0</v>
      </c>
      <c r="L54" s="116">
        <v>0</v>
      </c>
      <c r="M54" s="117" t="s">
        <v>122</v>
      </c>
      <c r="N54" s="114" t="s">
        <v>588</v>
      </c>
      <c r="O54" s="109">
        <v>654</v>
      </c>
      <c r="P54" s="105"/>
      <c r="Q54" s="106"/>
    </row>
    <row r="55" spans="1:17" ht="10.5" customHeight="1">
      <c r="A55" s="89"/>
      <c r="B55" s="90"/>
      <c r="C55" s="94">
        <v>655</v>
      </c>
      <c r="D55" s="81" t="s">
        <v>531</v>
      </c>
      <c r="E55" s="83">
        <v>588</v>
      </c>
      <c r="F55" s="86">
        <v>10981</v>
      </c>
      <c r="G55" s="86">
        <v>0</v>
      </c>
      <c r="H55" s="86">
        <v>11525</v>
      </c>
      <c r="I55" s="116">
        <v>0</v>
      </c>
      <c r="J55" s="110">
        <v>11732</v>
      </c>
      <c r="K55" s="110">
        <v>0</v>
      </c>
      <c r="L55" s="110">
        <v>0</v>
      </c>
      <c r="M55" s="112">
        <v>-95.43</v>
      </c>
      <c r="N55" s="114" t="s">
        <v>589</v>
      </c>
      <c r="O55" s="109">
        <v>655</v>
      </c>
      <c r="P55" s="105"/>
      <c r="Q55" s="106"/>
    </row>
    <row r="56" spans="1:17" ht="20.100000000000001" customHeight="1">
      <c r="A56" s="89"/>
      <c r="B56" s="93">
        <v>66</v>
      </c>
      <c r="C56" s="94"/>
      <c r="D56" s="81" t="s">
        <v>532</v>
      </c>
      <c r="E56" s="83">
        <v>9202</v>
      </c>
      <c r="F56" s="86">
        <v>98800</v>
      </c>
      <c r="G56" s="86">
        <v>9</v>
      </c>
      <c r="H56" s="86">
        <v>86879</v>
      </c>
      <c r="I56" s="110">
        <v>21</v>
      </c>
      <c r="J56" s="110">
        <v>146659</v>
      </c>
      <c r="K56" s="110">
        <v>5</v>
      </c>
      <c r="L56" s="110">
        <v>5</v>
      </c>
      <c r="M56" s="112">
        <v>-96.2</v>
      </c>
      <c r="N56" s="114" t="s">
        <v>590</v>
      </c>
      <c r="O56" s="109"/>
      <c r="P56" s="108">
        <v>66</v>
      </c>
      <c r="Q56" s="106"/>
    </row>
    <row r="57" spans="1:17" ht="10.5" customHeight="1">
      <c r="A57" s="89"/>
      <c r="B57" s="90"/>
      <c r="C57" s="94">
        <v>661</v>
      </c>
      <c r="D57" s="81" t="s">
        <v>533</v>
      </c>
      <c r="E57" s="83">
        <v>795</v>
      </c>
      <c r="F57" s="86">
        <v>34528</v>
      </c>
      <c r="G57" s="88">
        <v>0</v>
      </c>
      <c r="H57" s="86">
        <v>27349</v>
      </c>
      <c r="I57" s="116">
        <v>0</v>
      </c>
      <c r="J57" s="110">
        <v>32948</v>
      </c>
      <c r="K57" s="119">
        <v>0</v>
      </c>
      <c r="L57" s="119">
        <v>0</v>
      </c>
      <c r="M57" s="117" t="s">
        <v>122</v>
      </c>
      <c r="N57" s="114" t="s">
        <v>591</v>
      </c>
      <c r="O57" s="109">
        <v>661</v>
      </c>
      <c r="P57" s="105"/>
      <c r="Q57" s="106"/>
    </row>
    <row r="58" spans="1:17" ht="10.5" customHeight="1">
      <c r="A58" s="89"/>
      <c r="B58" s="90"/>
      <c r="C58" s="94">
        <v>662</v>
      </c>
      <c r="D58" s="81" t="s">
        <v>534</v>
      </c>
      <c r="E58" s="83">
        <v>52</v>
      </c>
      <c r="F58" s="86">
        <v>3911</v>
      </c>
      <c r="G58" s="88">
        <v>0</v>
      </c>
      <c r="H58" s="86">
        <v>3505</v>
      </c>
      <c r="I58" s="116">
        <v>0</v>
      </c>
      <c r="J58" s="110">
        <v>3325</v>
      </c>
      <c r="K58" s="116">
        <v>0</v>
      </c>
      <c r="L58" s="116">
        <v>0</v>
      </c>
      <c r="M58" s="117" t="s">
        <v>122</v>
      </c>
      <c r="N58" s="114" t="s">
        <v>592</v>
      </c>
      <c r="O58" s="109">
        <v>662</v>
      </c>
      <c r="P58" s="105"/>
      <c r="Q58" s="106"/>
    </row>
    <row r="59" spans="1:17" ht="10.5" customHeight="1">
      <c r="A59" s="89"/>
      <c r="B59" s="90"/>
      <c r="C59" s="94">
        <v>664</v>
      </c>
      <c r="D59" s="81" t="s">
        <v>535</v>
      </c>
      <c r="E59" s="83">
        <v>61</v>
      </c>
      <c r="F59" s="86">
        <v>10019</v>
      </c>
      <c r="G59" s="88">
        <v>0</v>
      </c>
      <c r="H59" s="86">
        <v>9654</v>
      </c>
      <c r="I59" s="116">
        <v>0</v>
      </c>
      <c r="J59" s="110">
        <v>10483</v>
      </c>
      <c r="K59" s="116">
        <v>0</v>
      </c>
      <c r="L59" s="116">
        <v>0</v>
      </c>
      <c r="M59" s="117" t="s">
        <v>122</v>
      </c>
      <c r="N59" s="114" t="s">
        <v>593</v>
      </c>
      <c r="O59" s="109">
        <v>664</v>
      </c>
      <c r="P59" s="105"/>
      <c r="Q59" s="106"/>
    </row>
    <row r="60" spans="1:17" ht="10.5" customHeight="1">
      <c r="A60" s="89"/>
      <c r="B60" s="90"/>
      <c r="C60" s="94">
        <v>669</v>
      </c>
      <c r="D60" s="81" t="s">
        <v>536</v>
      </c>
      <c r="E60" s="83">
        <v>8294</v>
      </c>
      <c r="F60" s="86">
        <v>50343</v>
      </c>
      <c r="G60" s="86">
        <v>9</v>
      </c>
      <c r="H60" s="86">
        <v>46372</v>
      </c>
      <c r="I60" s="110">
        <v>21</v>
      </c>
      <c r="J60" s="110">
        <v>99903</v>
      </c>
      <c r="K60" s="110">
        <v>5</v>
      </c>
      <c r="L60" s="110">
        <v>5</v>
      </c>
      <c r="M60" s="112">
        <v>-96.18</v>
      </c>
      <c r="N60" s="114" t="s">
        <v>594</v>
      </c>
      <c r="O60" s="109">
        <v>669</v>
      </c>
      <c r="P60" s="105"/>
      <c r="Q60" s="106"/>
    </row>
    <row r="61" spans="1:17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11"/>
      <c r="M61" s="37"/>
      <c r="N61" s="39"/>
      <c r="O61" s="9"/>
      <c r="P61" s="9"/>
      <c r="Q61" s="7"/>
    </row>
    <row r="63" spans="1:17" ht="15" customHeight="1"/>
  </sheetData>
  <mergeCells count="12"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650</v>
      </c>
      <c r="B1" s="48"/>
      <c r="C1" s="48"/>
      <c r="D1" s="48"/>
      <c r="E1" s="48"/>
      <c r="F1" s="48"/>
      <c r="G1" s="48"/>
      <c r="H1" s="48"/>
      <c r="I1" s="47" t="s">
        <v>701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17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28</v>
      </c>
      <c r="E3" s="21" t="s">
        <v>3</v>
      </c>
      <c r="F3" s="53" t="s">
        <v>29</v>
      </c>
      <c r="G3" s="54"/>
      <c r="H3" s="55"/>
      <c r="I3" s="78" t="s">
        <v>30</v>
      </c>
      <c r="J3" s="78"/>
      <c r="K3" s="78"/>
      <c r="L3" s="78"/>
      <c r="M3" s="79"/>
      <c r="N3" s="75" t="s">
        <v>31</v>
      </c>
      <c r="O3" s="74" t="s">
        <v>32</v>
      </c>
      <c r="P3" s="70" t="s">
        <v>33</v>
      </c>
      <c r="Q3" s="49" t="s">
        <v>34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8" t="s">
        <v>106</v>
      </c>
      <c r="L5" s="118" t="s">
        <v>167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4.1" customHeight="1">
      <c r="A8" s="92" t="s">
        <v>649</v>
      </c>
      <c r="B8" s="90"/>
      <c r="C8" s="91"/>
      <c r="D8" s="82" t="s">
        <v>648</v>
      </c>
      <c r="E8" s="84">
        <v>47883</v>
      </c>
      <c r="F8" s="87">
        <v>323974</v>
      </c>
      <c r="G8" s="87">
        <v>974</v>
      </c>
      <c r="H8" s="87">
        <v>342045</v>
      </c>
      <c r="I8" s="111">
        <v>605</v>
      </c>
      <c r="J8" s="111">
        <v>503807</v>
      </c>
      <c r="K8" s="111">
        <v>2142</v>
      </c>
      <c r="L8" s="111">
        <v>2142</v>
      </c>
      <c r="M8" s="113">
        <v>85.26</v>
      </c>
      <c r="N8" s="115" t="s">
        <v>651</v>
      </c>
      <c r="O8" s="104"/>
      <c r="P8" s="105"/>
      <c r="Q8" s="107" t="s">
        <v>649</v>
      </c>
    </row>
    <row r="9" spans="1:17" ht="10.5" customHeight="1">
      <c r="A9" s="92"/>
      <c r="B9" s="93">
        <v>67</v>
      </c>
      <c r="C9" s="91"/>
      <c r="D9" s="81" t="s">
        <v>596</v>
      </c>
      <c r="E9" s="83">
        <v>18545</v>
      </c>
      <c r="F9" s="86">
        <v>206491</v>
      </c>
      <c r="G9" s="86">
        <v>536</v>
      </c>
      <c r="H9" s="86">
        <v>226757</v>
      </c>
      <c r="I9" s="110">
        <v>362</v>
      </c>
      <c r="J9" s="110">
        <v>316961</v>
      </c>
      <c r="K9" s="110">
        <v>1322</v>
      </c>
      <c r="L9" s="110">
        <v>1322</v>
      </c>
      <c r="M9" s="112">
        <v>44.89</v>
      </c>
      <c r="N9" s="114" t="s">
        <v>652</v>
      </c>
      <c r="O9" s="104"/>
      <c r="P9" s="108">
        <v>67</v>
      </c>
      <c r="Q9" s="107"/>
    </row>
    <row r="10" spans="1:17" ht="10.5" customHeight="1">
      <c r="A10" s="92"/>
      <c r="B10" s="90"/>
      <c r="C10" s="94">
        <v>670</v>
      </c>
      <c r="D10" s="81" t="s">
        <v>597</v>
      </c>
      <c r="E10" s="83">
        <v>18545</v>
      </c>
      <c r="F10" s="86">
        <v>206491</v>
      </c>
      <c r="G10" s="86">
        <v>536</v>
      </c>
      <c r="H10" s="86">
        <v>226757</v>
      </c>
      <c r="I10" s="110">
        <v>362</v>
      </c>
      <c r="J10" s="110">
        <v>316961</v>
      </c>
      <c r="K10" s="110">
        <v>1322</v>
      </c>
      <c r="L10" s="110">
        <v>1322</v>
      </c>
      <c r="M10" s="112">
        <v>44.89</v>
      </c>
      <c r="N10" s="114" t="s">
        <v>653</v>
      </c>
      <c r="O10" s="109">
        <v>670</v>
      </c>
      <c r="P10" s="105"/>
      <c r="Q10" s="107"/>
    </row>
    <row r="11" spans="1:17" ht="10.5" customHeight="1">
      <c r="A11" s="92"/>
      <c r="B11" s="93">
        <v>68</v>
      </c>
      <c r="C11" s="91"/>
      <c r="D11" s="81" t="s">
        <v>598</v>
      </c>
      <c r="E11" s="83">
        <v>29338</v>
      </c>
      <c r="F11" s="86">
        <v>117483</v>
      </c>
      <c r="G11" s="86">
        <v>437</v>
      </c>
      <c r="H11" s="86">
        <v>115288</v>
      </c>
      <c r="I11" s="110">
        <v>243</v>
      </c>
      <c r="J11" s="110">
        <v>186846</v>
      </c>
      <c r="K11" s="110">
        <v>820</v>
      </c>
      <c r="L11" s="110">
        <v>820</v>
      </c>
      <c r="M11" s="112">
        <v>236.3</v>
      </c>
      <c r="N11" s="114" t="s">
        <v>654</v>
      </c>
      <c r="O11" s="104"/>
      <c r="P11" s="108">
        <v>68</v>
      </c>
      <c r="Q11" s="107"/>
    </row>
    <row r="12" spans="1:17" ht="10.5" customHeight="1">
      <c r="A12" s="92"/>
      <c r="B12" s="90"/>
      <c r="C12" s="94">
        <v>681</v>
      </c>
      <c r="D12" s="81" t="s">
        <v>599</v>
      </c>
      <c r="E12" s="83">
        <v>28511</v>
      </c>
      <c r="F12" s="86">
        <v>116154</v>
      </c>
      <c r="G12" s="86">
        <v>432</v>
      </c>
      <c r="H12" s="86">
        <v>113821</v>
      </c>
      <c r="I12" s="110">
        <v>236</v>
      </c>
      <c r="J12" s="110">
        <v>185379</v>
      </c>
      <c r="K12" s="110">
        <v>813</v>
      </c>
      <c r="L12" s="110">
        <v>813</v>
      </c>
      <c r="M12" s="112">
        <v>241.1</v>
      </c>
      <c r="N12" s="114" t="s">
        <v>655</v>
      </c>
      <c r="O12" s="109">
        <v>681</v>
      </c>
      <c r="P12" s="105"/>
      <c r="Q12" s="107"/>
    </row>
    <row r="13" spans="1:17" ht="10.5" customHeight="1">
      <c r="A13" s="92"/>
      <c r="B13" s="90"/>
      <c r="C13" s="94">
        <v>689</v>
      </c>
      <c r="D13" s="81" t="s">
        <v>600</v>
      </c>
      <c r="E13" s="83">
        <v>827</v>
      </c>
      <c r="F13" s="86">
        <v>1330</v>
      </c>
      <c r="G13" s="86">
        <v>6</v>
      </c>
      <c r="H13" s="86">
        <v>1467</v>
      </c>
      <c r="I13" s="110">
        <v>6</v>
      </c>
      <c r="J13" s="110">
        <v>1467</v>
      </c>
      <c r="K13" s="110">
        <v>7</v>
      </c>
      <c r="L13" s="110">
        <v>7</v>
      </c>
      <c r="M13" s="112">
        <v>25.67</v>
      </c>
      <c r="N13" s="114" t="s">
        <v>656</v>
      </c>
      <c r="O13" s="109">
        <v>689</v>
      </c>
      <c r="P13" s="105"/>
      <c r="Q13" s="107"/>
    </row>
    <row r="14" spans="1:17" ht="14.1" customHeight="1">
      <c r="A14" s="92" t="s">
        <v>645</v>
      </c>
      <c r="B14" s="90"/>
      <c r="C14" s="91"/>
      <c r="D14" s="82" t="s">
        <v>601</v>
      </c>
      <c r="E14" s="84">
        <v>63451</v>
      </c>
      <c r="F14" s="87">
        <v>173042</v>
      </c>
      <c r="G14" s="87">
        <v>1530</v>
      </c>
      <c r="H14" s="87">
        <v>186532</v>
      </c>
      <c r="I14" s="111">
        <v>1378</v>
      </c>
      <c r="J14" s="111">
        <v>259677</v>
      </c>
      <c r="K14" s="111">
        <v>1746</v>
      </c>
      <c r="L14" s="111">
        <v>1746</v>
      </c>
      <c r="M14" s="113">
        <v>-5.76</v>
      </c>
      <c r="N14" s="115" t="s">
        <v>657</v>
      </c>
      <c r="O14" s="104"/>
      <c r="P14" s="105"/>
      <c r="Q14" s="107" t="s">
        <v>645</v>
      </c>
    </row>
    <row r="15" spans="1:17" ht="10.5" customHeight="1">
      <c r="A15" s="92"/>
      <c r="B15" s="93">
        <v>69</v>
      </c>
      <c r="C15" s="91"/>
      <c r="D15" s="81" t="s">
        <v>602</v>
      </c>
      <c r="E15" s="83">
        <v>169</v>
      </c>
      <c r="F15" s="86">
        <v>679</v>
      </c>
      <c r="G15" s="86">
        <v>1</v>
      </c>
      <c r="H15" s="86">
        <v>668</v>
      </c>
      <c r="I15" s="110">
        <v>1</v>
      </c>
      <c r="J15" s="110">
        <v>680</v>
      </c>
      <c r="K15" s="110">
        <v>1</v>
      </c>
      <c r="L15" s="110">
        <v>1</v>
      </c>
      <c r="M15" s="112">
        <v>-34.07</v>
      </c>
      <c r="N15" s="114" t="s">
        <v>658</v>
      </c>
      <c r="O15" s="104"/>
      <c r="P15" s="108">
        <v>69</v>
      </c>
      <c r="Q15" s="107"/>
    </row>
    <row r="16" spans="1:17" ht="10.5" customHeight="1">
      <c r="A16" s="92"/>
      <c r="B16" s="90"/>
      <c r="C16" s="94">
        <v>691</v>
      </c>
      <c r="D16" s="81" t="s">
        <v>603</v>
      </c>
      <c r="E16" s="83">
        <v>133</v>
      </c>
      <c r="F16" s="86">
        <v>672</v>
      </c>
      <c r="G16" s="86">
        <v>1</v>
      </c>
      <c r="H16" s="86">
        <v>662</v>
      </c>
      <c r="I16" s="110">
        <v>1</v>
      </c>
      <c r="J16" s="110">
        <v>670</v>
      </c>
      <c r="K16" s="110">
        <v>1</v>
      </c>
      <c r="L16" s="110">
        <v>1</v>
      </c>
      <c r="M16" s="112">
        <v>-40.11</v>
      </c>
      <c r="N16" s="114" t="s">
        <v>659</v>
      </c>
      <c r="O16" s="109">
        <v>691</v>
      </c>
      <c r="P16" s="105"/>
      <c r="Q16" s="107"/>
    </row>
    <row r="17" spans="1:17" ht="20.100000000000001" customHeight="1">
      <c r="A17" s="92"/>
      <c r="B17" s="90"/>
      <c r="C17" s="94">
        <v>692</v>
      </c>
      <c r="D17" s="81" t="s">
        <v>604</v>
      </c>
      <c r="E17" s="83">
        <v>36</v>
      </c>
      <c r="F17" s="86">
        <v>8</v>
      </c>
      <c r="G17" s="86">
        <v>0</v>
      </c>
      <c r="H17" s="86">
        <v>6</v>
      </c>
      <c r="I17" s="110">
        <v>0</v>
      </c>
      <c r="J17" s="110">
        <v>11</v>
      </c>
      <c r="K17" s="110">
        <v>0</v>
      </c>
      <c r="L17" s="110">
        <v>0</v>
      </c>
      <c r="M17" s="120">
        <v>0</v>
      </c>
      <c r="N17" s="114" t="s">
        <v>660</v>
      </c>
      <c r="O17" s="109">
        <v>692</v>
      </c>
      <c r="P17" s="105"/>
      <c r="Q17" s="107"/>
    </row>
    <row r="18" spans="1:17" ht="10.5" customHeight="1">
      <c r="A18" s="92"/>
      <c r="B18" s="93">
        <v>70</v>
      </c>
      <c r="C18" s="91"/>
      <c r="D18" s="81" t="s">
        <v>605</v>
      </c>
      <c r="E18" s="83">
        <v>18337</v>
      </c>
      <c r="F18" s="86">
        <v>46305</v>
      </c>
      <c r="G18" s="86">
        <v>122</v>
      </c>
      <c r="H18" s="86">
        <v>46146</v>
      </c>
      <c r="I18" s="110">
        <v>110</v>
      </c>
      <c r="J18" s="110">
        <v>85600</v>
      </c>
      <c r="K18" s="110">
        <v>179</v>
      </c>
      <c r="L18" s="110">
        <v>179</v>
      </c>
      <c r="M18" s="112">
        <v>-66.209999999999994</v>
      </c>
      <c r="N18" s="114" t="s">
        <v>661</v>
      </c>
      <c r="O18" s="104"/>
      <c r="P18" s="108">
        <v>70</v>
      </c>
      <c r="Q18" s="107"/>
    </row>
    <row r="19" spans="1:17" ht="10.5" customHeight="1">
      <c r="A19" s="92"/>
      <c r="B19" s="90"/>
      <c r="C19" s="94">
        <v>701</v>
      </c>
      <c r="D19" s="81" t="s">
        <v>606</v>
      </c>
      <c r="E19" s="83">
        <v>33</v>
      </c>
      <c r="F19" s="86">
        <v>655</v>
      </c>
      <c r="G19" s="88">
        <v>0</v>
      </c>
      <c r="H19" s="86">
        <v>734</v>
      </c>
      <c r="I19" s="116">
        <v>0</v>
      </c>
      <c r="J19" s="110">
        <v>1137</v>
      </c>
      <c r="K19" s="116">
        <v>0</v>
      </c>
      <c r="L19" s="116">
        <v>0</v>
      </c>
      <c r="M19" s="117" t="s">
        <v>122</v>
      </c>
      <c r="N19" s="114" t="s">
        <v>662</v>
      </c>
      <c r="O19" s="109">
        <v>701</v>
      </c>
      <c r="P19" s="105"/>
      <c r="Q19" s="107"/>
    </row>
    <row r="20" spans="1:17" ht="10.5" customHeight="1">
      <c r="A20" s="92"/>
      <c r="B20" s="90"/>
      <c r="C20" s="94">
        <v>702</v>
      </c>
      <c r="D20" s="81" t="s">
        <v>607</v>
      </c>
      <c r="E20" s="83">
        <v>18304</v>
      </c>
      <c r="F20" s="86">
        <v>45650</v>
      </c>
      <c r="G20" s="86">
        <v>122</v>
      </c>
      <c r="H20" s="86">
        <v>45412</v>
      </c>
      <c r="I20" s="110">
        <v>110</v>
      </c>
      <c r="J20" s="110">
        <v>84463</v>
      </c>
      <c r="K20" s="110">
        <v>179</v>
      </c>
      <c r="L20" s="110">
        <v>179</v>
      </c>
      <c r="M20" s="112">
        <v>-66.209999999999994</v>
      </c>
      <c r="N20" s="114" t="s">
        <v>663</v>
      </c>
      <c r="O20" s="109">
        <v>702</v>
      </c>
      <c r="P20" s="105"/>
      <c r="Q20" s="107"/>
    </row>
    <row r="21" spans="1:17" ht="20.100000000000001" customHeight="1">
      <c r="A21" s="92"/>
      <c r="B21" s="93">
        <v>71</v>
      </c>
      <c r="C21" s="91"/>
      <c r="D21" s="81" t="s">
        <v>608</v>
      </c>
      <c r="E21" s="83">
        <v>5291</v>
      </c>
      <c r="F21" s="86">
        <v>36220</v>
      </c>
      <c r="G21" s="86">
        <v>72</v>
      </c>
      <c r="H21" s="86">
        <v>32913</v>
      </c>
      <c r="I21" s="110">
        <v>7</v>
      </c>
      <c r="J21" s="110">
        <v>43976</v>
      </c>
      <c r="K21" s="110">
        <v>14</v>
      </c>
      <c r="L21" s="110">
        <v>14</v>
      </c>
      <c r="M21" s="112">
        <v>-79.930000000000007</v>
      </c>
      <c r="N21" s="114" t="s">
        <v>664</v>
      </c>
      <c r="O21" s="104"/>
      <c r="P21" s="108">
        <v>71</v>
      </c>
      <c r="Q21" s="107"/>
    </row>
    <row r="22" spans="1:17" ht="20.100000000000001" customHeight="1">
      <c r="A22" s="92"/>
      <c r="B22" s="90"/>
      <c r="C22" s="94">
        <v>711</v>
      </c>
      <c r="D22" s="81" t="s">
        <v>609</v>
      </c>
      <c r="E22" s="83">
        <v>3534</v>
      </c>
      <c r="F22" s="86">
        <v>29601</v>
      </c>
      <c r="G22" s="86">
        <v>56</v>
      </c>
      <c r="H22" s="86">
        <v>25589</v>
      </c>
      <c r="I22" s="110">
        <v>0</v>
      </c>
      <c r="J22" s="110">
        <v>35386</v>
      </c>
      <c r="K22" s="110">
        <v>9</v>
      </c>
      <c r="L22" s="110">
        <v>9</v>
      </c>
      <c r="M22" s="112">
        <v>-78.069999999999993</v>
      </c>
      <c r="N22" s="114" t="s">
        <v>665</v>
      </c>
      <c r="O22" s="109">
        <v>711</v>
      </c>
      <c r="P22" s="105"/>
      <c r="Q22" s="107"/>
    </row>
    <row r="23" spans="1:17" ht="10.5" customHeight="1">
      <c r="A23" s="92"/>
      <c r="B23" s="90"/>
      <c r="C23" s="94">
        <v>712</v>
      </c>
      <c r="D23" s="81" t="s">
        <v>610</v>
      </c>
      <c r="E23" s="83">
        <v>1757</v>
      </c>
      <c r="F23" s="86">
        <v>6619</v>
      </c>
      <c r="G23" s="86">
        <v>16</v>
      </c>
      <c r="H23" s="86">
        <v>7323</v>
      </c>
      <c r="I23" s="110">
        <v>7</v>
      </c>
      <c r="J23" s="110">
        <v>8590</v>
      </c>
      <c r="K23" s="110">
        <v>4</v>
      </c>
      <c r="L23" s="110">
        <v>4</v>
      </c>
      <c r="M23" s="112">
        <v>-82.95</v>
      </c>
      <c r="N23" s="114" t="s">
        <v>666</v>
      </c>
      <c r="O23" s="109">
        <v>712</v>
      </c>
      <c r="P23" s="105"/>
      <c r="Q23" s="107"/>
    </row>
    <row r="24" spans="1:17" ht="10.5" customHeight="1">
      <c r="A24" s="92"/>
      <c r="B24" s="93">
        <v>72</v>
      </c>
      <c r="C24" s="91"/>
      <c r="D24" s="81" t="s">
        <v>611</v>
      </c>
      <c r="E24" s="83">
        <v>591</v>
      </c>
      <c r="F24" s="86">
        <v>10419</v>
      </c>
      <c r="G24" s="86">
        <v>2</v>
      </c>
      <c r="H24" s="86">
        <v>11278</v>
      </c>
      <c r="I24" s="110">
        <v>5</v>
      </c>
      <c r="J24" s="110">
        <v>7327</v>
      </c>
      <c r="K24" s="110">
        <v>12</v>
      </c>
      <c r="L24" s="110">
        <v>12</v>
      </c>
      <c r="M24" s="112">
        <v>1080.4100000000001</v>
      </c>
      <c r="N24" s="114" t="s">
        <v>667</v>
      </c>
      <c r="O24" s="104"/>
      <c r="P24" s="108">
        <v>72</v>
      </c>
      <c r="Q24" s="107"/>
    </row>
    <row r="25" spans="1:17" ht="20.100000000000001" customHeight="1">
      <c r="A25" s="92"/>
      <c r="B25" s="90"/>
      <c r="C25" s="94">
        <v>721</v>
      </c>
      <c r="D25" s="81" t="s">
        <v>612</v>
      </c>
      <c r="E25" s="83">
        <v>202</v>
      </c>
      <c r="F25" s="86">
        <v>8795</v>
      </c>
      <c r="G25" s="121">
        <v>0</v>
      </c>
      <c r="H25" s="86">
        <v>8857</v>
      </c>
      <c r="I25" s="110">
        <v>0</v>
      </c>
      <c r="J25" s="110">
        <v>5402</v>
      </c>
      <c r="K25" s="110">
        <v>0</v>
      </c>
      <c r="L25" s="110">
        <v>0</v>
      </c>
      <c r="M25" s="112">
        <v>-91.96</v>
      </c>
      <c r="N25" s="114" t="s">
        <v>668</v>
      </c>
      <c r="O25" s="109">
        <v>721</v>
      </c>
      <c r="P25" s="105"/>
      <c r="Q25" s="107"/>
    </row>
    <row r="26" spans="1:17" ht="20.100000000000001" customHeight="1">
      <c r="A26" s="92"/>
      <c r="B26" s="90"/>
      <c r="C26" s="94">
        <v>722</v>
      </c>
      <c r="D26" s="81" t="s">
        <v>613</v>
      </c>
      <c r="E26" s="83">
        <v>34</v>
      </c>
      <c r="F26" s="86">
        <v>64</v>
      </c>
      <c r="G26" s="86">
        <v>1</v>
      </c>
      <c r="H26" s="86">
        <v>35</v>
      </c>
      <c r="I26" s="110">
        <v>0</v>
      </c>
      <c r="J26" s="110">
        <v>38</v>
      </c>
      <c r="K26" s="110">
        <v>0</v>
      </c>
      <c r="L26" s="110">
        <v>0</v>
      </c>
      <c r="M26" s="112">
        <v>3.84</v>
      </c>
      <c r="N26" s="114" t="s">
        <v>669</v>
      </c>
      <c r="O26" s="109">
        <v>722</v>
      </c>
      <c r="P26" s="105"/>
      <c r="Q26" s="107"/>
    </row>
    <row r="27" spans="1:17" ht="10.5" customHeight="1">
      <c r="A27" s="92"/>
      <c r="B27" s="90"/>
      <c r="C27" s="94">
        <v>723</v>
      </c>
      <c r="D27" s="81" t="s">
        <v>614</v>
      </c>
      <c r="E27" s="83">
        <v>355</v>
      </c>
      <c r="F27" s="86">
        <v>1559</v>
      </c>
      <c r="G27" s="86">
        <v>0</v>
      </c>
      <c r="H27" s="86">
        <v>2386</v>
      </c>
      <c r="I27" s="110">
        <v>4</v>
      </c>
      <c r="J27" s="110">
        <v>1886</v>
      </c>
      <c r="K27" s="110">
        <v>12</v>
      </c>
      <c r="L27" s="110">
        <v>12</v>
      </c>
      <c r="M27" s="112">
        <v>5214.67</v>
      </c>
      <c r="N27" s="114" t="s">
        <v>670</v>
      </c>
      <c r="O27" s="109">
        <v>723</v>
      </c>
      <c r="P27" s="105"/>
      <c r="Q27" s="107"/>
    </row>
    <row r="28" spans="1:17" ht="10.5" customHeight="1">
      <c r="A28" s="92"/>
      <c r="B28" s="93">
        <v>73</v>
      </c>
      <c r="C28" s="91"/>
      <c r="D28" s="81" t="s">
        <v>615</v>
      </c>
      <c r="E28" s="83">
        <v>17480</v>
      </c>
      <c r="F28" s="86">
        <v>34353</v>
      </c>
      <c r="G28" s="86">
        <v>156</v>
      </c>
      <c r="H28" s="86">
        <v>36388</v>
      </c>
      <c r="I28" s="110">
        <v>137</v>
      </c>
      <c r="J28" s="110">
        <v>46015</v>
      </c>
      <c r="K28" s="110">
        <v>297</v>
      </c>
      <c r="L28" s="110">
        <v>297</v>
      </c>
      <c r="M28" s="112">
        <v>143.58000000000001</v>
      </c>
      <c r="N28" s="114" t="s">
        <v>671</v>
      </c>
      <c r="O28" s="104"/>
      <c r="P28" s="108">
        <v>73</v>
      </c>
      <c r="Q28" s="107"/>
    </row>
    <row r="29" spans="1:17" ht="10.5" customHeight="1">
      <c r="A29" s="92"/>
      <c r="B29" s="90"/>
      <c r="C29" s="94">
        <v>731</v>
      </c>
      <c r="D29" s="81" t="s">
        <v>616</v>
      </c>
      <c r="E29" s="83">
        <v>17313</v>
      </c>
      <c r="F29" s="86">
        <v>33776</v>
      </c>
      <c r="G29" s="86">
        <v>156</v>
      </c>
      <c r="H29" s="86">
        <v>35681</v>
      </c>
      <c r="I29" s="110">
        <v>136</v>
      </c>
      <c r="J29" s="110">
        <v>45106</v>
      </c>
      <c r="K29" s="110">
        <v>296</v>
      </c>
      <c r="L29" s="110">
        <v>296</v>
      </c>
      <c r="M29" s="112">
        <v>144.85</v>
      </c>
      <c r="N29" s="114" t="s">
        <v>672</v>
      </c>
      <c r="O29" s="109">
        <v>731</v>
      </c>
      <c r="P29" s="105"/>
      <c r="Q29" s="107"/>
    </row>
    <row r="30" spans="1:17" ht="10.5" customHeight="1">
      <c r="A30" s="92"/>
      <c r="B30" s="90"/>
      <c r="C30" s="94">
        <v>732</v>
      </c>
      <c r="D30" s="81" t="s">
        <v>617</v>
      </c>
      <c r="E30" s="83">
        <v>167</v>
      </c>
      <c r="F30" s="86">
        <v>577</v>
      </c>
      <c r="G30" s="86">
        <v>0</v>
      </c>
      <c r="H30" s="86">
        <v>707</v>
      </c>
      <c r="I30" s="110">
        <v>0</v>
      </c>
      <c r="J30" s="110">
        <v>908</v>
      </c>
      <c r="K30" s="110">
        <v>1</v>
      </c>
      <c r="L30" s="110">
        <v>1</v>
      </c>
      <c r="M30" s="112">
        <v>1.67</v>
      </c>
      <c r="N30" s="114" t="s">
        <v>673</v>
      </c>
      <c r="O30" s="109">
        <v>732</v>
      </c>
      <c r="P30" s="105"/>
      <c r="Q30" s="107"/>
    </row>
    <row r="31" spans="1:17" ht="10.5" customHeight="1">
      <c r="A31" s="92"/>
      <c r="B31" s="93">
        <v>74</v>
      </c>
      <c r="C31" s="91"/>
      <c r="D31" s="81" t="s">
        <v>618</v>
      </c>
      <c r="E31" s="83">
        <v>11359</v>
      </c>
      <c r="F31" s="86">
        <v>18804</v>
      </c>
      <c r="G31" s="86">
        <v>948</v>
      </c>
      <c r="H31" s="86">
        <v>19249</v>
      </c>
      <c r="I31" s="110">
        <v>896</v>
      </c>
      <c r="J31" s="110">
        <v>25416</v>
      </c>
      <c r="K31" s="110">
        <v>1030</v>
      </c>
      <c r="L31" s="110">
        <v>1030</v>
      </c>
      <c r="M31" s="112">
        <v>13.8</v>
      </c>
      <c r="N31" s="114" t="s">
        <v>674</v>
      </c>
      <c r="O31" s="104"/>
      <c r="P31" s="108">
        <v>74</v>
      </c>
      <c r="Q31" s="107"/>
    </row>
    <row r="32" spans="1:17" ht="10.5" customHeight="1">
      <c r="A32" s="92"/>
      <c r="B32" s="90"/>
      <c r="C32" s="94">
        <v>740</v>
      </c>
      <c r="D32" s="81" t="s">
        <v>619</v>
      </c>
      <c r="E32" s="83">
        <v>11359</v>
      </c>
      <c r="F32" s="86">
        <v>18804</v>
      </c>
      <c r="G32" s="86">
        <v>948</v>
      </c>
      <c r="H32" s="86">
        <v>19249</v>
      </c>
      <c r="I32" s="110">
        <v>896</v>
      </c>
      <c r="J32" s="110">
        <v>25416</v>
      </c>
      <c r="K32" s="110">
        <v>1030</v>
      </c>
      <c r="L32" s="110">
        <v>1030</v>
      </c>
      <c r="M32" s="112">
        <v>13.8</v>
      </c>
      <c r="N32" s="114" t="s">
        <v>675</v>
      </c>
      <c r="O32" s="109">
        <v>740</v>
      </c>
      <c r="P32" s="105"/>
      <c r="Q32" s="107"/>
    </row>
    <row r="33" spans="1:17" ht="10.5" customHeight="1">
      <c r="A33" s="92"/>
      <c r="B33" s="93">
        <v>75</v>
      </c>
      <c r="C33" s="91"/>
      <c r="D33" s="81" t="s">
        <v>620</v>
      </c>
      <c r="E33" s="83">
        <v>6</v>
      </c>
      <c r="F33" s="86">
        <v>1</v>
      </c>
      <c r="G33" s="86">
        <v>0</v>
      </c>
      <c r="H33" s="86">
        <v>1</v>
      </c>
      <c r="I33" s="110">
        <v>0</v>
      </c>
      <c r="J33" s="110">
        <v>1</v>
      </c>
      <c r="K33" s="110">
        <v>0</v>
      </c>
      <c r="L33" s="110">
        <v>0</v>
      </c>
      <c r="M33" s="112">
        <v>-20.13</v>
      </c>
      <c r="N33" s="114" t="s">
        <v>676</v>
      </c>
      <c r="O33" s="104"/>
      <c r="P33" s="108">
        <v>75</v>
      </c>
      <c r="Q33" s="107"/>
    </row>
    <row r="34" spans="1:17" ht="10.5" customHeight="1">
      <c r="A34" s="92"/>
      <c r="B34" s="90"/>
      <c r="C34" s="94">
        <v>750</v>
      </c>
      <c r="D34" s="81" t="s">
        <v>621</v>
      </c>
      <c r="E34" s="83">
        <v>6</v>
      </c>
      <c r="F34" s="86">
        <v>1</v>
      </c>
      <c r="G34" s="86">
        <v>0</v>
      </c>
      <c r="H34" s="86">
        <v>1</v>
      </c>
      <c r="I34" s="110">
        <v>0</v>
      </c>
      <c r="J34" s="110">
        <v>1</v>
      </c>
      <c r="K34" s="110">
        <v>0</v>
      </c>
      <c r="L34" s="110">
        <v>0</v>
      </c>
      <c r="M34" s="112">
        <v>-20.13</v>
      </c>
      <c r="N34" s="114" t="s">
        <v>677</v>
      </c>
      <c r="O34" s="109">
        <v>750</v>
      </c>
      <c r="P34" s="105"/>
      <c r="Q34" s="107"/>
    </row>
    <row r="35" spans="1:17" ht="10.5" customHeight="1">
      <c r="A35" s="92"/>
      <c r="B35" s="93">
        <v>76</v>
      </c>
      <c r="C35" s="91"/>
      <c r="D35" s="81" t="s">
        <v>622</v>
      </c>
      <c r="E35" s="83">
        <v>10218</v>
      </c>
      <c r="F35" s="86">
        <v>26262</v>
      </c>
      <c r="G35" s="86">
        <v>230</v>
      </c>
      <c r="H35" s="86">
        <v>39890</v>
      </c>
      <c r="I35" s="110">
        <v>223</v>
      </c>
      <c r="J35" s="110">
        <v>50662</v>
      </c>
      <c r="K35" s="110">
        <v>213</v>
      </c>
      <c r="L35" s="110">
        <v>213</v>
      </c>
      <c r="M35" s="112">
        <v>-5.65</v>
      </c>
      <c r="N35" s="114" t="s">
        <v>678</v>
      </c>
      <c r="O35" s="104"/>
      <c r="P35" s="108">
        <v>76</v>
      </c>
      <c r="Q35" s="107"/>
    </row>
    <row r="36" spans="1:17" ht="10.5" customHeight="1">
      <c r="A36" s="92"/>
      <c r="B36" s="90"/>
      <c r="C36" s="94">
        <v>760</v>
      </c>
      <c r="D36" s="81" t="s">
        <v>623</v>
      </c>
      <c r="E36" s="83">
        <v>10218</v>
      </c>
      <c r="F36" s="86">
        <v>26262</v>
      </c>
      <c r="G36" s="86">
        <v>230</v>
      </c>
      <c r="H36" s="86">
        <v>39890</v>
      </c>
      <c r="I36" s="110">
        <v>223</v>
      </c>
      <c r="J36" s="110">
        <v>50662</v>
      </c>
      <c r="K36" s="110">
        <v>213</v>
      </c>
      <c r="L36" s="110">
        <v>213</v>
      </c>
      <c r="M36" s="112">
        <v>-5.65</v>
      </c>
      <c r="N36" s="114" t="s">
        <v>679</v>
      </c>
      <c r="O36" s="109">
        <v>760</v>
      </c>
      <c r="P36" s="105"/>
      <c r="Q36" s="107"/>
    </row>
    <row r="37" spans="1:17" ht="14.1" customHeight="1">
      <c r="A37" s="92" t="s">
        <v>646</v>
      </c>
      <c r="B37" s="90"/>
      <c r="C37" s="91"/>
      <c r="D37" s="82" t="s">
        <v>624</v>
      </c>
      <c r="E37" s="84">
        <v>35058</v>
      </c>
      <c r="F37" s="87">
        <v>118585</v>
      </c>
      <c r="G37" s="87">
        <v>537</v>
      </c>
      <c r="H37" s="87">
        <v>119188</v>
      </c>
      <c r="I37" s="111">
        <v>401</v>
      </c>
      <c r="J37" s="111">
        <v>135938</v>
      </c>
      <c r="K37" s="111">
        <v>456</v>
      </c>
      <c r="L37" s="111">
        <v>456</v>
      </c>
      <c r="M37" s="113">
        <v>-1.38</v>
      </c>
      <c r="N37" s="115" t="s">
        <v>680</v>
      </c>
      <c r="O37" s="104"/>
      <c r="P37" s="105"/>
      <c r="Q37" s="107" t="s">
        <v>646</v>
      </c>
    </row>
    <row r="38" spans="1:17" ht="10.5" customHeight="1">
      <c r="A38" s="92"/>
      <c r="B38" s="93">
        <v>77</v>
      </c>
      <c r="C38" s="91"/>
      <c r="D38" s="81" t="s">
        <v>625</v>
      </c>
      <c r="E38" s="83">
        <v>7585</v>
      </c>
      <c r="F38" s="86">
        <v>56912</v>
      </c>
      <c r="G38" s="86">
        <v>201</v>
      </c>
      <c r="H38" s="86">
        <v>57653</v>
      </c>
      <c r="I38" s="110">
        <v>165</v>
      </c>
      <c r="J38" s="110">
        <v>66407</v>
      </c>
      <c r="K38" s="110">
        <v>166</v>
      </c>
      <c r="L38" s="110">
        <v>166</v>
      </c>
      <c r="M38" s="112">
        <v>-1.73</v>
      </c>
      <c r="N38" s="114" t="s">
        <v>681</v>
      </c>
      <c r="O38" s="104"/>
      <c r="P38" s="108">
        <v>77</v>
      </c>
      <c r="Q38" s="107"/>
    </row>
    <row r="39" spans="1:17" ht="10.5" customHeight="1">
      <c r="A39" s="92"/>
      <c r="B39" s="90"/>
      <c r="C39" s="94">
        <v>771</v>
      </c>
      <c r="D39" s="81" t="s">
        <v>626</v>
      </c>
      <c r="E39" s="83">
        <v>2654</v>
      </c>
      <c r="F39" s="86">
        <v>10920</v>
      </c>
      <c r="G39" s="86">
        <v>63</v>
      </c>
      <c r="H39" s="86">
        <v>11045</v>
      </c>
      <c r="I39" s="110">
        <v>31</v>
      </c>
      <c r="J39" s="110">
        <v>11669</v>
      </c>
      <c r="K39" s="110">
        <v>37</v>
      </c>
      <c r="L39" s="110">
        <v>37</v>
      </c>
      <c r="M39" s="112">
        <v>13.07</v>
      </c>
      <c r="N39" s="114" t="s">
        <v>682</v>
      </c>
      <c r="O39" s="109">
        <v>771</v>
      </c>
      <c r="P39" s="105"/>
      <c r="Q39" s="107"/>
    </row>
    <row r="40" spans="1:17" ht="10.5" customHeight="1">
      <c r="A40" s="92"/>
      <c r="B40" s="90"/>
      <c r="C40" s="94">
        <v>772</v>
      </c>
      <c r="D40" s="81" t="s">
        <v>627</v>
      </c>
      <c r="E40" s="83">
        <v>2707</v>
      </c>
      <c r="F40" s="86">
        <v>44675</v>
      </c>
      <c r="G40" s="86">
        <v>28</v>
      </c>
      <c r="H40" s="86">
        <v>45137</v>
      </c>
      <c r="I40" s="110">
        <v>29</v>
      </c>
      <c r="J40" s="110">
        <v>52557</v>
      </c>
      <c r="K40" s="110">
        <v>26</v>
      </c>
      <c r="L40" s="110">
        <v>26</v>
      </c>
      <c r="M40" s="112">
        <v>-19.09</v>
      </c>
      <c r="N40" s="114" t="s">
        <v>683</v>
      </c>
      <c r="O40" s="109">
        <v>772</v>
      </c>
      <c r="P40" s="105"/>
      <c r="Q40" s="107"/>
    </row>
    <row r="41" spans="1:17" ht="10.5" customHeight="1">
      <c r="A41" s="92"/>
      <c r="B41" s="90"/>
      <c r="C41" s="94">
        <v>773</v>
      </c>
      <c r="D41" s="81" t="s">
        <v>628</v>
      </c>
      <c r="E41" s="83">
        <v>2072</v>
      </c>
      <c r="F41" s="86">
        <v>945</v>
      </c>
      <c r="G41" s="86">
        <v>109</v>
      </c>
      <c r="H41" s="86">
        <v>1092</v>
      </c>
      <c r="I41" s="110">
        <v>105</v>
      </c>
      <c r="J41" s="110">
        <v>1753</v>
      </c>
      <c r="K41" s="110">
        <v>104</v>
      </c>
      <c r="L41" s="110">
        <v>104</v>
      </c>
      <c r="M41" s="112">
        <v>-0.95</v>
      </c>
      <c r="N41" s="114" t="s">
        <v>684</v>
      </c>
      <c r="O41" s="109">
        <v>773</v>
      </c>
      <c r="P41" s="105"/>
      <c r="Q41" s="107"/>
    </row>
    <row r="42" spans="1:17" ht="20.100000000000001" customHeight="1">
      <c r="A42" s="92"/>
      <c r="B42" s="90"/>
      <c r="C42" s="94">
        <v>774</v>
      </c>
      <c r="D42" s="81" t="s">
        <v>629</v>
      </c>
      <c r="E42" s="83">
        <v>152</v>
      </c>
      <c r="F42" s="86">
        <v>371</v>
      </c>
      <c r="G42" s="86">
        <v>1</v>
      </c>
      <c r="H42" s="86">
        <v>379</v>
      </c>
      <c r="I42" s="110">
        <v>0</v>
      </c>
      <c r="J42" s="110">
        <v>427</v>
      </c>
      <c r="K42" s="110">
        <v>0</v>
      </c>
      <c r="L42" s="110">
        <v>0</v>
      </c>
      <c r="M42" s="112">
        <v>-47.74</v>
      </c>
      <c r="N42" s="114" t="s">
        <v>685</v>
      </c>
      <c r="O42" s="109">
        <v>774</v>
      </c>
      <c r="P42" s="105"/>
      <c r="Q42" s="107"/>
    </row>
    <row r="43" spans="1:17" ht="10.5" customHeight="1">
      <c r="A43" s="92"/>
      <c r="B43" s="93">
        <v>78</v>
      </c>
      <c r="C43" s="91"/>
      <c r="D43" s="81" t="s">
        <v>630</v>
      </c>
      <c r="E43" s="83">
        <v>5842</v>
      </c>
      <c r="F43" s="86">
        <v>14740</v>
      </c>
      <c r="G43" s="86">
        <v>115</v>
      </c>
      <c r="H43" s="86">
        <v>14347</v>
      </c>
      <c r="I43" s="110">
        <v>13</v>
      </c>
      <c r="J43" s="110">
        <v>15963</v>
      </c>
      <c r="K43" s="110">
        <v>23</v>
      </c>
      <c r="L43" s="110">
        <v>23</v>
      </c>
      <c r="M43" s="112">
        <v>-30.66</v>
      </c>
      <c r="N43" s="114" t="s">
        <v>686</v>
      </c>
      <c r="O43" s="104"/>
      <c r="P43" s="108">
        <v>78</v>
      </c>
      <c r="Q43" s="107"/>
    </row>
    <row r="44" spans="1:17" ht="10.5" customHeight="1">
      <c r="A44" s="92"/>
      <c r="B44" s="90"/>
      <c r="C44" s="94">
        <v>781</v>
      </c>
      <c r="D44" s="81" t="s">
        <v>631</v>
      </c>
      <c r="E44" s="83">
        <v>2103</v>
      </c>
      <c r="F44" s="86">
        <v>5028</v>
      </c>
      <c r="G44" s="86">
        <v>72</v>
      </c>
      <c r="H44" s="86">
        <v>5128</v>
      </c>
      <c r="I44" s="110">
        <v>1</v>
      </c>
      <c r="J44" s="110">
        <v>5800</v>
      </c>
      <c r="K44" s="110">
        <v>7</v>
      </c>
      <c r="L44" s="110">
        <v>7</v>
      </c>
      <c r="M44" s="112">
        <v>-4.6399999999999997</v>
      </c>
      <c r="N44" s="114" t="s">
        <v>687</v>
      </c>
      <c r="O44" s="109">
        <v>781</v>
      </c>
      <c r="P44" s="105"/>
      <c r="Q44" s="107"/>
    </row>
    <row r="45" spans="1:17" ht="10.5" customHeight="1">
      <c r="A45" s="92"/>
      <c r="B45" s="90"/>
      <c r="C45" s="94">
        <v>782</v>
      </c>
      <c r="D45" s="81" t="s">
        <v>632</v>
      </c>
      <c r="E45" s="83">
        <v>3739</v>
      </c>
      <c r="F45" s="86">
        <v>9711</v>
      </c>
      <c r="G45" s="86">
        <v>43</v>
      </c>
      <c r="H45" s="86">
        <v>9219</v>
      </c>
      <c r="I45" s="110">
        <v>12</v>
      </c>
      <c r="J45" s="110">
        <v>10163</v>
      </c>
      <c r="K45" s="110">
        <v>16</v>
      </c>
      <c r="L45" s="110">
        <v>16</v>
      </c>
      <c r="M45" s="112">
        <v>-38.44</v>
      </c>
      <c r="N45" s="114" t="s">
        <v>688</v>
      </c>
      <c r="O45" s="109">
        <v>782</v>
      </c>
      <c r="P45" s="105"/>
      <c r="Q45" s="107"/>
    </row>
    <row r="46" spans="1:17" ht="20.100000000000001" customHeight="1">
      <c r="A46" s="92"/>
      <c r="B46" s="93">
        <v>79</v>
      </c>
      <c r="C46" s="91"/>
      <c r="D46" s="81" t="s">
        <v>633</v>
      </c>
      <c r="E46" s="83">
        <v>4051</v>
      </c>
      <c r="F46" s="86">
        <v>5068</v>
      </c>
      <c r="G46" s="86">
        <v>3</v>
      </c>
      <c r="H46" s="86">
        <v>5315</v>
      </c>
      <c r="I46" s="110">
        <v>7</v>
      </c>
      <c r="J46" s="110">
        <v>5843</v>
      </c>
      <c r="K46" s="110">
        <v>1</v>
      </c>
      <c r="L46" s="110">
        <v>1</v>
      </c>
      <c r="M46" s="112">
        <v>-70.28</v>
      </c>
      <c r="N46" s="114" t="s">
        <v>689</v>
      </c>
      <c r="O46" s="104"/>
      <c r="P46" s="108">
        <v>79</v>
      </c>
      <c r="Q46" s="107"/>
    </row>
    <row r="47" spans="1:17" ht="20.100000000000001" customHeight="1">
      <c r="A47" s="92"/>
      <c r="B47" s="90"/>
      <c r="C47" s="94">
        <v>790</v>
      </c>
      <c r="D47" s="81" t="s">
        <v>634</v>
      </c>
      <c r="E47" s="83">
        <v>4051</v>
      </c>
      <c r="F47" s="86">
        <v>5068</v>
      </c>
      <c r="G47" s="86">
        <v>3</v>
      </c>
      <c r="H47" s="86">
        <v>5315</v>
      </c>
      <c r="I47" s="110">
        <v>7</v>
      </c>
      <c r="J47" s="110">
        <v>5843</v>
      </c>
      <c r="K47" s="110">
        <v>1</v>
      </c>
      <c r="L47" s="110">
        <v>1</v>
      </c>
      <c r="M47" s="112">
        <v>-70.28</v>
      </c>
      <c r="N47" s="114" t="s">
        <v>690</v>
      </c>
      <c r="O47" s="109">
        <v>790</v>
      </c>
      <c r="P47" s="105"/>
      <c r="Q47" s="107"/>
    </row>
    <row r="48" spans="1:17" ht="10.5" customHeight="1">
      <c r="A48" s="92"/>
      <c r="B48" s="93">
        <v>80</v>
      </c>
      <c r="C48" s="91"/>
      <c r="D48" s="81" t="s">
        <v>635</v>
      </c>
      <c r="E48" s="83">
        <v>827</v>
      </c>
      <c r="F48" s="86">
        <v>15035</v>
      </c>
      <c r="G48" s="86">
        <v>3</v>
      </c>
      <c r="H48" s="86">
        <v>14023</v>
      </c>
      <c r="I48" s="110">
        <v>-2</v>
      </c>
      <c r="J48" s="110">
        <v>15349</v>
      </c>
      <c r="K48" s="110">
        <v>42</v>
      </c>
      <c r="L48" s="110">
        <v>42</v>
      </c>
      <c r="M48" s="112">
        <v>9.8699999999999992</v>
      </c>
      <c r="N48" s="114" t="s">
        <v>691</v>
      </c>
      <c r="O48" s="104"/>
      <c r="P48" s="108">
        <v>80</v>
      </c>
      <c r="Q48" s="107"/>
    </row>
    <row r="49" spans="1:17" ht="10.5" customHeight="1">
      <c r="A49" s="92"/>
      <c r="B49" s="90"/>
      <c r="C49" s="94">
        <v>800</v>
      </c>
      <c r="D49" s="81" t="s">
        <v>636</v>
      </c>
      <c r="E49" s="83">
        <v>827</v>
      </c>
      <c r="F49" s="86">
        <v>15035</v>
      </c>
      <c r="G49" s="86">
        <v>3</v>
      </c>
      <c r="H49" s="86">
        <v>14023</v>
      </c>
      <c r="I49" s="110">
        <v>-2</v>
      </c>
      <c r="J49" s="110">
        <v>15349</v>
      </c>
      <c r="K49" s="110">
        <v>42</v>
      </c>
      <c r="L49" s="110">
        <v>42</v>
      </c>
      <c r="M49" s="112">
        <v>9.8699999999999992</v>
      </c>
      <c r="N49" s="114" t="s">
        <v>692</v>
      </c>
      <c r="O49" s="109">
        <v>800</v>
      </c>
      <c r="P49" s="105"/>
      <c r="Q49" s="107"/>
    </row>
    <row r="50" spans="1:17" ht="10.5" customHeight="1">
      <c r="A50" s="92"/>
      <c r="B50" s="93">
        <v>81</v>
      </c>
      <c r="C50" s="91"/>
      <c r="D50" s="81" t="s">
        <v>637</v>
      </c>
      <c r="E50" s="83">
        <v>10859</v>
      </c>
      <c r="F50" s="86">
        <v>17965</v>
      </c>
      <c r="G50" s="86">
        <v>104</v>
      </c>
      <c r="H50" s="86">
        <v>18216</v>
      </c>
      <c r="I50" s="110">
        <v>105</v>
      </c>
      <c r="J50" s="110">
        <v>21307</v>
      </c>
      <c r="K50" s="110">
        <v>120</v>
      </c>
      <c r="L50" s="110">
        <v>120</v>
      </c>
      <c r="M50" s="112">
        <v>4.2</v>
      </c>
      <c r="N50" s="114" t="s">
        <v>693</v>
      </c>
      <c r="O50" s="104"/>
      <c r="P50" s="108">
        <v>81</v>
      </c>
      <c r="Q50" s="107"/>
    </row>
    <row r="51" spans="1:17" ht="10.5" customHeight="1">
      <c r="A51" s="92"/>
      <c r="B51" s="90"/>
      <c r="C51" s="94">
        <v>811</v>
      </c>
      <c r="D51" s="81" t="s">
        <v>638</v>
      </c>
      <c r="E51" s="83">
        <v>684</v>
      </c>
      <c r="F51" s="86">
        <v>3854</v>
      </c>
      <c r="G51" s="86">
        <v>2</v>
      </c>
      <c r="H51" s="86">
        <v>3874</v>
      </c>
      <c r="I51" s="110">
        <v>3</v>
      </c>
      <c r="J51" s="110">
        <v>4201</v>
      </c>
      <c r="K51" s="110">
        <v>3</v>
      </c>
      <c r="L51" s="110">
        <v>3</v>
      </c>
      <c r="M51" s="112">
        <v>60.1</v>
      </c>
      <c r="N51" s="114" t="s">
        <v>694</v>
      </c>
      <c r="O51" s="109">
        <v>811</v>
      </c>
      <c r="P51" s="105"/>
      <c r="Q51" s="107"/>
    </row>
    <row r="52" spans="1:17" ht="10.5" customHeight="1">
      <c r="A52" s="92"/>
      <c r="B52" s="90"/>
      <c r="C52" s="94">
        <v>812</v>
      </c>
      <c r="D52" s="81" t="s">
        <v>639</v>
      </c>
      <c r="E52" s="83">
        <v>8268</v>
      </c>
      <c r="F52" s="86">
        <v>11846</v>
      </c>
      <c r="G52" s="86">
        <v>91</v>
      </c>
      <c r="H52" s="86">
        <v>12002</v>
      </c>
      <c r="I52" s="110">
        <v>88</v>
      </c>
      <c r="J52" s="110">
        <v>14129</v>
      </c>
      <c r="K52" s="110">
        <v>103</v>
      </c>
      <c r="L52" s="110">
        <v>103</v>
      </c>
      <c r="M52" s="112">
        <v>1.31</v>
      </c>
      <c r="N52" s="114" t="s">
        <v>695</v>
      </c>
      <c r="O52" s="109">
        <v>812</v>
      </c>
      <c r="P52" s="105"/>
      <c r="Q52" s="107"/>
    </row>
    <row r="53" spans="1:17" ht="10.5" customHeight="1">
      <c r="A53" s="92"/>
      <c r="B53" s="90"/>
      <c r="C53" s="94">
        <v>813</v>
      </c>
      <c r="D53" s="81" t="s">
        <v>640</v>
      </c>
      <c r="E53" s="83">
        <v>1907</v>
      </c>
      <c r="F53" s="86">
        <v>2266</v>
      </c>
      <c r="G53" s="86">
        <v>11</v>
      </c>
      <c r="H53" s="86">
        <v>2340</v>
      </c>
      <c r="I53" s="110">
        <v>14</v>
      </c>
      <c r="J53" s="110">
        <v>2977</v>
      </c>
      <c r="K53" s="110">
        <v>14</v>
      </c>
      <c r="L53" s="110">
        <v>14</v>
      </c>
      <c r="M53" s="112">
        <v>20.91</v>
      </c>
      <c r="N53" s="114" t="s">
        <v>696</v>
      </c>
      <c r="O53" s="109">
        <v>813</v>
      </c>
      <c r="P53" s="105"/>
      <c r="Q53" s="107"/>
    </row>
    <row r="54" spans="1:17" ht="10.5" customHeight="1">
      <c r="A54" s="92"/>
      <c r="B54" s="93">
        <v>82</v>
      </c>
      <c r="C54" s="91"/>
      <c r="D54" s="81" t="s">
        <v>641</v>
      </c>
      <c r="E54" s="83">
        <v>5894</v>
      </c>
      <c r="F54" s="86">
        <v>8866</v>
      </c>
      <c r="G54" s="86">
        <v>111</v>
      </c>
      <c r="H54" s="86">
        <v>9633</v>
      </c>
      <c r="I54" s="110">
        <v>113</v>
      </c>
      <c r="J54" s="110">
        <v>11070</v>
      </c>
      <c r="K54" s="110">
        <v>104</v>
      </c>
      <c r="L54" s="110">
        <v>104</v>
      </c>
      <c r="M54" s="112">
        <v>-0.46</v>
      </c>
      <c r="N54" s="114" t="s">
        <v>697</v>
      </c>
      <c r="O54" s="104"/>
      <c r="P54" s="108">
        <v>82</v>
      </c>
      <c r="Q54" s="107"/>
    </row>
    <row r="55" spans="1:17" ht="10.5" customHeight="1">
      <c r="A55" s="92"/>
      <c r="B55" s="90"/>
      <c r="C55" s="94">
        <v>820</v>
      </c>
      <c r="D55" s="81" t="s">
        <v>642</v>
      </c>
      <c r="E55" s="83">
        <v>5894</v>
      </c>
      <c r="F55" s="86">
        <v>8866</v>
      </c>
      <c r="G55" s="86">
        <v>111</v>
      </c>
      <c r="H55" s="86">
        <v>9633</v>
      </c>
      <c r="I55" s="110">
        <v>113</v>
      </c>
      <c r="J55" s="110">
        <v>11070</v>
      </c>
      <c r="K55" s="110">
        <v>104</v>
      </c>
      <c r="L55" s="110">
        <v>104</v>
      </c>
      <c r="M55" s="112">
        <v>-0.46</v>
      </c>
      <c r="N55" s="114" t="s">
        <v>698</v>
      </c>
      <c r="O55" s="109">
        <v>820</v>
      </c>
      <c r="P55" s="105"/>
      <c r="Q55" s="107"/>
    </row>
    <row r="56" spans="1:17" ht="20.100000000000001" customHeight="1">
      <c r="A56" s="92" t="s">
        <v>647</v>
      </c>
      <c r="B56" s="90"/>
      <c r="C56" s="91"/>
      <c r="D56" s="82" t="s">
        <v>643</v>
      </c>
      <c r="E56" s="84">
        <v>12</v>
      </c>
      <c r="F56" s="87">
        <v>877</v>
      </c>
      <c r="G56" s="123">
        <v>0</v>
      </c>
      <c r="H56" s="87">
        <v>640</v>
      </c>
      <c r="I56" s="124">
        <v>0</v>
      </c>
      <c r="J56" s="111">
        <v>2409</v>
      </c>
      <c r="K56" s="124">
        <v>0</v>
      </c>
      <c r="L56" s="124">
        <v>0</v>
      </c>
      <c r="M56" s="125" t="s">
        <v>122</v>
      </c>
      <c r="N56" s="115" t="s">
        <v>699</v>
      </c>
      <c r="O56" s="104"/>
      <c r="P56" s="105"/>
      <c r="Q56" s="107" t="s">
        <v>647</v>
      </c>
    </row>
    <row r="57" spans="1:17" ht="10.5" customHeight="1">
      <c r="A57" s="92"/>
      <c r="B57" s="93">
        <v>83</v>
      </c>
      <c r="C57" s="91"/>
      <c r="D57" s="81" t="s">
        <v>644</v>
      </c>
      <c r="E57" s="83">
        <v>9</v>
      </c>
      <c r="F57" s="86">
        <v>875</v>
      </c>
      <c r="G57" s="88">
        <v>0</v>
      </c>
      <c r="H57" s="86">
        <v>639</v>
      </c>
      <c r="I57" s="116">
        <v>0</v>
      </c>
      <c r="J57" s="110">
        <v>2407</v>
      </c>
      <c r="K57" s="116">
        <v>0</v>
      </c>
      <c r="L57" s="116">
        <v>0</v>
      </c>
      <c r="M57" s="117" t="s">
        <v>122</v>
      </c>
      <c r="N57" s="114" t="s">
        <v>700</v>
      </c>
      <c r="O57" s="104"/>
      <c r="P57" s="108">
        <v>83</v>
      </c>
      <c r="Q57" s="107"/>
    </row>
    <row r="58" spans="1:17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11"/>
      <c r="M58" s="37"/>
      <c r="N58" s="39"/>
      <c r="O58" s="9"/>
      <c r="P58" s="9"/>
      <c r="Q58" s="7"/>
    </row>
    <row r="60" spans="1:17" ht="15" customHeight="1"/>
  </sheetData>
  <mergeCells count="12">
    <mergeCell ref="D3:D6"/>
    <mergeCell ref="P3:P6"/>
    <mergeCell ref="O3:O6"/>
    <mergeCell ref="N3:N6"/>
    <mergeCell ref="I1:Q1"/>
    <mergeCell ref="A1:H1"/>
    <mergeCell ref="Q3:Q6"/>
    <mergeCell ref="F3:H3"/>
    <mergeCell ref="I3:M3"/>
    <mergeCell ref="A3:A6"/>
    <mergeCell ref="B3:B6"/>
    <mergeCell ref="C3:C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9.125" style="3" customWidth="1"/>
    <col min="10" max="11" width="9.125" customWidth="1"/>
    <col min="12" max="12" width="10.625" customWidth="1"/>
    <col min="13" max="13" width="8.125" customWidth="1"/>
    <col min="14" max="14" width="27.625" customWidth="1"/>
    <col min="15" max="15" width="4.125" customWidth="1"/>
    <col min="16" max="16" width="3.625" customWidth="1"/>
    <col min="17" max="17" width="3.125" customWidth="1"/>
  </cols>
  <sheetData>
    <row r="1" spans="1:17" ht="35.1" customHeight="1">
      <c r="A1" s="48" t="s">
        <v>762</v>
      </c>
      <c r="B1" s="48"/>
      <c r="C1" s="48"/>
      <c r="D1" s="48"/>
      <c r="E1" s="48"/>
      <c r="F1" s="48"/>
      <c r="G1" s="48"/>
      <c r="H1" s="48"/>
      <c r="I1" s="47" t="s">
        <v>817</v>
      </c>
      <c r="J1" s="47"/>
      <c r="K1" s="47"/>
      <c r="L1" s="47"/>
      <c r="M1" s="47"/>
      <c r="N1" s="47"/>
      <c r="O1" s="47"/>
      <c r="P1" s="47"/>
      <c r="Q1" s="47"/>
    </row>
    <row r="2" spans="1:17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1"/>
      <c r="N2" s="26"/>
      <c r="O2" s="26"/>
      <c r="P2" s="26"/>
      <c r="Q2" s="35" t="s">
        <v>27</v>
      </c>
    </row>
    <row r="3" spans="1:17" ht="12" customHeight="1">
      <c r="A3" s="58" t="s">
        <v>35</v>
      </c>
      <c r="B3" s="61" t="s">
        <v>36</v>
      </c>
      <c r="C3" s="61" t="s">
        <v>1</v>
      </c>
      <c r="D3" s="67" t="s">
        <v>9</v>
      </c>
      <c r="E3" s="21" t="s">
        <v>10</v>
      </c>
      <c r="F3" s="53" t="s">
        <v>11</v>
      </c>
      <c r="G3" s="54"/>
      <c r="H3" s="55"/>
      <c r="I3" s="78" t="s">
        <v>12</v>
      </c>
      <c r="J3" s="78"/>
      <c r="K3" s="78"/>
      <c r="L3" s="78"/>
      <c r="M3" s="79"/>
      <c r="N3" s="75" t="s">
        <v>13</v>
      </c>
      <c r="O3" s="74" t="s">
        <v>14</v>
      </c>
      <c r="P3" s="70" t="s">
        <v>15</v>
      </c>
      <c r="Q3" s="49" t="s">
        <v>16</v>
      </c>
    </row>
    <row r="4" spans="1:17" ht="5.0999999999999996" customHeight="1">
      <c r="A4" s="59"/>
      <c r="B4" s="62"/>
      <c r="C4" s="62"/>
      <c r="D4" s="68"/>
      <c r="E4" s="22"/>
      <c r="F4" s="27"/>
      <c r="G4" s="28"/>
      <c r="H4" s="32"/>
      <c r="I4" s="29"/>
      <c r="J4" s="30"/>
      <c r="K4" s="30"/>
      <c r="L4" s="31"/>
      <c r="M4" s="42"/>
      <c r="N4" s="76"/>
      <c r="O4" s="72"/>
      <c r="P4" s="71"/>
      <c r="Q4" s="50"/>
    </row>
    <row r="5" spans="1:17" ht="12" customHeight="1">
      <c r="A5" s="59"/>
      <c r="B5" s="62"/>
      <c r="C5" s="62"/>
      <c r="D5" s="68"/>
      <c r="E5" s="95" t="s">
        <v>106</v>
      </c>
      <c r="F5" s="96" t="s">
        <v>96</v>
      </c>
      <c r="G5" s="97" t="s">
        <v>97</v>
      </c>
      <c r="H5" s="98" t="s">
        <v>98</v>
      </c>
      <c r="I5" s="97" t="s">
        <v>168</v>
      </c>
      <c r="J5" s="98" t="s">
        <v>161</v>
      </c>
      <c r="K5" s="118" t="s">
        <v>106</v>
      </c>
      <c r="L5" s="118" t="s">
        <v>167</v>
      </c>
      <c r="M5" s="40" t="s">
        <v>40</v>
      </c>
      <c r="N5" s="76"/>
      <c r="O5" s="72"/>
      <c r="P5" s="72"/>
      <c r="Q5" s="51"/>
    </row>
    <row r="6" spans="1:17" ht="12" customHeight="1" thickBot="1">
      <c r="A6" s="60"/>
      <c r="B6" s="63"/>
      <c r="C6" s="63"/>
      <c r="D6" s="69"/>
      <c r="E6" s="99" t="s">
        <v>99</v>
      </c>
      <c r="F6" s="100" t="s">
        <v>100</v>
      </c>
      <c r="G6" s="100" t="s">
        <v>101</v>
      </c>
      <c r="H6" s="101" t="s">
        <v>102</v>
      </c>
      <c r="I6" s="100" t="s">
        <v>162</v>
      </c>
      <c r="J6" s="101" t="s">
        <v>163</v>
      </c>
      <c r="K6" s="101" t="s">
        <v>99</v>
      </c>
      <c r="L6" s="101" t="s">
        <v>164</v>
      </c>
      <c r="M6" s="41" t="s">
        <v>41</v>
      </c>
      <c r="N6" s="77"/>
      <c r="O6" s="73"/>
      <c r="P6" s="73"/>
      <c r="Q6" s="52"/>
    </row>
    <row r="7" spans="1:17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10"/>
      <c r="M7" s="36"/>
      <c r="N7" s="38"/>
      <c r="O7" s="6"/>
      <c r="P7" s="6"/>
      <c r="Q7" s="8"/>
    </row>
    <row r="8" spans="1:17" ht="10.5" customHeight="1">
      <c r="A8" s="89"/>
      <c r="B8" s="90"/>
      <c r="C8" s="94">
        <v>831</v>
      </c>
      <c r="D8" s="81" t="s">
        <v>761</v>
      </c>
      <c r="E8" s="83">
        <v>5</v>
      </c>
      <c r="F8" s="86">
        <v>593</v>
      </c>
      <c r="G8" s="88">
        <v>0</v>
      </c>
      <c r="H8" s="86">
        <v>509</v>
      </c>
      <c r="I8" s="116">
        <v>0</v>
      </c>
      <c r="J8" s="110">
        <v>394</v>
      </c>
      <c r="K8" s="116">
        <v>0</v>
      </c>
      <c r="L8" s="116">
        <v>0</v>
      </c>
      <c r="M8" s="117" t="s">
        <v>122</v>
      </c>
      <c r="N8" s="114" t="s">
        <v>763</v>
      </c>
      <c r="O8" s="109">
        <v>831</v>
      </c>
      <c r="P8" s="105"/>
      <c r="Q8" s="106"/>
    </row>
    <row r="9" spans="1:17" ht="10.5" customHeight="1">
      <c r="A9" s="89"/>
      <c r="B9" s="90"/>
      <c r="C9" s="94">
        <v>832</v>
      </c>
      <c r="D9" s="81" t="s">
        <v>702</v>
      </c>
      <c r="E9" s="83">
        <v>4</v>
      </c>
      <c r="F9" s="86">
        <v>281</v>
      </c>
      <c r="G9" s="88">
        <v>0</v>
      </c>
      <c r="H9" s="86">
        <v>130</v>
      </c>
      <c r="I9" s="116">
        <v>0</v>
      </c>
      <c r="J9" s="110">
        <v>2013</v>
      </c>
      <c r="K9" s="116">
        <v>0</v>
      </c>
      <c r="L9" s="116">
        <v>0</v>
      </c>
      <c r="M9" s="117" t="s">
        <v>122</v>
      </c>
      <c r="N9" s="114" t="s">
        <v>764</v>
      </c>
      <c r="O9" s="109">
        <v>832</v>
      </c>
      <c r="P9" s="105"/>
      <c r="Q9" s="106"/>
    </row>
    <row r="10" spans="1:17" ht="10.5" customHeight="1">
      <c r="A10" s="89"/>
      <c r="B10" s="90"/>
      <c r="C10" s="94">
        <v>833</v>
      </c>
      <c r="D10" s="81" t="s">
        <v>703</v>
      </c>
      <c r="E10" s="122">
        <v>0</v>
      </c>
      <c r="F10" s="88">
        <v>0</v>
      </c>
      <c r="G10" s="88">
        <v>0</v>
      </c>
      <c r="H10" s="88">
        <v>0</v>
      </c>
      <c r="I10" s="116">
        <v>0</v>
      </c>
      <c r="J10" s="116">
        <v>0</v>
      </c>
      <c r="K10" s="116">
        <v>0</v>
      </c>
      <c r="L10" s="116">
        <v>0</v>
      </c>
      <c r="M10" s="117" t="s">
        <v>122</v>
      </c>
      <c r="N10" s="114" t="s">
        <v>765</v>
      </c>
      <c r="O10" s="109">
        <v>833</v>
      </c>
      <c r="P10" s="105"/>
      <c r="Q10" s="106"/>
    </row>
    <row r="11" spans="1:17" ht="10.5" customHeight="1">
      <c r="A11" s="89"/>
      <c r="B11" s="93">
        <v>84</v>
      </c>
      <c r="C11" s="94"/>
      <c r="D11" s="81" t="s">
        <v>704</v>
      </c>
      <c r="E11" s="83">
        <v>3</v>
      </c>
      <c r="F11" s="86">
        <v>3</v>
      </c>
      <c r="G11" s="88">
        <v>0</v>
      </c>
      <c r="H11" s="86">
        <v>1</v>
      </c>
      <c r="I11" s="116">
        <v>0</v>
      </c>
      <c r="J11" s="110">
        <v>2</v>
      </c>
      <c r="K11" s="116">
        <v>0</v>
      </c>
      <c r="L11" s="116">
        <v>0</v>
      </c>
      <c r="M11" s="117" t="s">
        <v>122</v>
      </c>
      <c r="N11" s="114" t="s">
        <v>766</v>
      </c>
      <c r="O11" s="109"/>
      <c r="P11" s="108">
        <v>84</v>
      </c>
      <c r="Q11" s="106"/>
    </row>
    <row r="12" spans="1:17" ht="10.5" customHeight="1">
      <c r="A12" s="89"/>
      <c r="B12" s="90"/>
      <c r="C12" s="94">
        <v>840</v>
      </c>
      <c r="D12" s="81" t="s">
        <v>705</v>
      </c>
      <c r="E12" s="83">
        <v>3</v>
      </c>
      <c r="F12" s="86">
        <v>3</v>
      </c>
      <c r="G12" s="88">
        <v>0</v>
      </c>
      <c r="H12" s="86">
        <v>1</v>
      </c>
      <c r="I12" s="116">
        <v>0</v>
      </c>
      <c r="J12" s="110">
        <v>2</v>
      </c>
      <c r="K12" s="116">
        <v>0</v>
      </c>
      <c r="L12" s="116">
        <v>0</v>
      </c>
      <c r="M12" s="117" t="s">
        <v>122</v>
      </c>
      <c r="N12" s="114" t="s">
        <v>767</v>
      </c>
      <c r="O12" s="109">
        <v>840</v>
      </c>
      <c r="P12" s="105"/>
      <c r="Q12" s="106"/>
    </row>
    <row r="13" spans="1:17" ht="14.1" customHeight="1">
      <c r="A13" s="92" t="s">
        <v>756</v>
      </c>
      <c r="B13" s="90"/>
      <c r="C13" s="94"/>
      <c r="D13" s="82" t="s">
        <v>706</v>
      </c>
      <c r="E13" s="84">
        <v>6774</v>
      </c>
      <c r="F13" s="87">
        <v>5692</v>
      </c>
      <c r="G13" s="87">
        <v>130</v>
      </c>
      <c r="H13" s="87">
        <v>5599</v>
      </c>
      <c r="I13" s="111">
        <v>157</v>
      </c>
      <c r="J13" s="111">
        <v>7087</v>
      </c>
      <c r="K13" s="111">
        <v>201</v>
      </c>
      <c r="L13" s="111">
        <v>201</v>
      </c>
      <c r="M13" s="113">
        <v>78.97</v>
      </c>
      <c r="N13" s="115" t="s">
        <v>768</v>
      </c>
      <c r="O13" s="109"/>
      <c r="P13" s="105"/>
      <c r="Q13" s="107" t="s">
        <v>756</v>
      </c>
    </row>
    <row r="14" spans="1:17" ht="10.5" customHeight="1">
      <c r="A14" s="89"/>
      <c r="B14" s="93">
        <v>85</v>
      </c>
      <c r="C14" s="94"/>
      <c r="D14" s="81" t="s">
        <v>707</v>
      </c>
      <c r="E14" s="83">
        <v>6774</v>
      </c>
      <c r="F14" s="86">
        <v>5692</v>
      </c>
      <c r="G14" s="86">
        <v>130</v>
      </c>
      <c r="H14" s="86">
        <v>5599</v>
      </c>
      <c r="I14" s="110">
        <v>157</v>
      </c>
      <c r="J14" s="110">
        <v>7087</v>
      </c>
      <c r="K14" s="110">
        <v>201</v>
      </c>
      <c r="L14" s="110">
        <v>201</v>
      </c>
      <c r="M14" s="112">
        <v>78.97</v>
      </c>
      <c r="N14" s="114" t="s">
        <v>769</v>
      </c>
      <c r="O14" s="109"/>
      <c r="P14" s="108">
        <v>85</v>
      </c>
      <c r="Q14" s="106"/>
    </row>
    <row r="15" spans="1:17" ht="10.5" customHeight="1">
      <c r="A15" s="89"/>
      <c r="B15" s="90"/>
      <c r="C15" s="94">
        <v>851</v>
      </c>
      <c r="D15" s="81" t="s">
        <v>708</v>
      </c>
      <c r="E15" s="83">
        <v>27</v>
      </c>
      <c r="F15" s="86">
        <v>124</v>
      </c>
      <c r="G15" s="88">
        <v>0</v>
      </c>
      <c r="H15" s="86">
        <v>138</v>
      </c>
      <c r="I15" s="116">
        <v>0</v>
      </c>
      <c r="J15" s="110">
        <v>131</v>
      </c>
      <c r="K15" s="116">
        <v>0</v>
      </c>
      <c r="L15" s="116">
        <v>0</v>
      </c>
      <c r="M15" s="120">
        <v>0</v>
      </c>
      <c r="N15" s="114" t="s">
        <v>770</v>
      </c>
      <c r="O15" s="109">
        <v>851</v>
      </c>
      <c r="P15" s="105"/>
      <c r="Q15" s="106"/>
    </row>
    <row r="16" spans="1:17" ht="10.5" customHeight="1">
      <c r="A16" s="89"/>
      <c r="B16" s="90"/>
      <c r="C16" s="94">
        <v>852</v>
      </c>
      <c r="D16" s="81" t="s">
        <v>709</v>
      </c>
      <c r="E16" s="83">
        <v>1</v>
      </c>
      <c r="F16" s="85" t="s">
        <v>710</v>
      </c>
      <c r="G16" s="126" t="s">
        <v>710</v>
      </c>
      <c r="H16" s="85" t="s">
        <v>710</v>
      </c>
      <c r="I16" s="129" t="s">
        <v>710</v>
      </c>
      <c r="J16" s="129" t="s">
        <v>710</v>
      </c>
      <c r="K16" s="129" t="s">
        <v>710</v>
      </c>
      <c r="L16" s="129" t="s">
        <v>710</v>
      </c>
      <c r="M16" s="117" t="s">
        <v>710</v>
      </c>
      <c r="N16" s="114" t="s">
        <v>771</v>
      </c>
      <c r="O16" s="109">
        <v>852</v>
      </c>
      <c r="P16" s="105"/>
      <c r="Q16" s="106"/>
    </row>
    <row r="17" spans="1:17" ht="10.5" customHeight="1">
      <c r="A17" s="89"/>
      <c r="B17" s="90"/>
      <c r="C17" s="94">
        <v>853</v>
      </c>
      <c r="D17" s="81" t="s">
        <v>711</v>
      </c>
      <c r="E17" s="83">
        <v>1</v>
      </c>
      <c r="F17" s="85" t="s">
        <v>710</v>
      </c>
      <c r="G17" s="126" t="s">
        <v>710</v>
      </c>
      <c r="H17" s="85" t="s">
        <v>710</v>
      </c>
      <c r="I17" s="129" t="s">
        <v>710</v>
      </c>
      <c r="J17" s="129" t="s">
        <v>710</v>
      </c>
      <c r="K17" s="129" t="s">
        <v>710</v>
      </c>
      <c r="L17" s="129" t="s">
        <v>710</v>
      </c>
      <c r="M17" s="117" t="s">
        <v>710</v>
      </c>
      <c r="N17" s="114" t="s">
        <v>772</v>
      </c>
      <c r="O17" s="109">
        <v>853</v>
      </c>
      <c r="P17" s="105"/>
      <c r="Q17" s="106"/>
    </row>
    <row r="18" spans="1:17" ht="10.5" customHeight="1">
      <c r="A18" s="89"/>
      <c r="B18" s="90"/>
      <c r="C18" s="94">
        <v>854</v>
      </c>
      <c r="D18" s="81" t="s">
        <v>712</v>
      </c>
      <c r="E18" s="83">
        <v>1</v>
      </c>
      <c r="F18" s="85" t="s">
        <v>710</v>
      </c>
      <c r="G18" s="126" t="s">
        <v>710</v>
      </c>
      <c r="H18" s="85" t="s">
        <v>710</v>
      </c>
      <c r="I18" s="129" t="s">
        <v>710</v>
      </c>
      <c r="J18" s="129" t="s">
        <v>710</v>
      </c>
      <c r="K18" s="129" t="s">
        <v>710</v>
      </c>
      <c r="L18" s="129" t="s">
        <v>710</v>
      </c>
      <c r="M18" s="117" t="s">
        <v>710</v>
      </c>
      <c r="N18" s="114" t="s">
        <v>773</v>
      </c>
      <c r="O18" s="109">
        <v>854</v>
      </c>
      <c r="P18" s="105"/>
      <c r="Q18" s="106"/>
    </row>
    <row r="19" spans="1:17" ht="10.5" customHeight="1">
      <c r="A19" s="89"/>
      <c r="B19" s="90"/>
      <c r="C19" s="94">
        <v>855</v>
      </c>
      <c r="D19" s="81" t="s">
        <v>713</v>
      </c>
      <c r="E19" s="83">
        <v>4</v>
      </c>
      <c r="F19" s="86">
        <v>87</v>
      </c>
      <c r="G19" s="88">
        <v>0</v>
      </c>
      <c r="H19" s="86">
        <v>141</v>
      </c>
      <c r="I19" s="116">
        <v>0</v>
      </c>
      <c r="J19" s="110">
        <v>101</v>
      </c>
      <c r="K19" s="116">
        <v>0</v>
      </c>
      <c r="L19" s="116">
        <v>0</v>
      </c>
      <c r="M19" s="117" t="s">
        <v>122</v>
      </c>
      <c r="N19" s="114" t="s">
        <v>774</v>
      </c>
      <c r="O19" s="109">
        <v>855</v>
      </c>
      <c r="P19" s="105"/>
      <c r="Q19" s="106"/>
    </row>
    <row r="20" spans="1:17" ht="10.5" customHeight="1">
      <c r="A20" s="89"/>
      <c r="B20" s="90"/>
      <c r="C20" s="94">
        <v>856</v>
      </c>
      <c r="D20" s="81" t="s">
        <v>714</v>
      </c>
      <c r="E20" s="122">
        <v>0</v>
      </c>
      <c r="F20" s="88">
        <v>0</v>
      </c>
      <c r="G20" s="88">
        <v>0</v>
      </c>
      <c r="H20" s="88">
        <v>0</v>
      </c>
      <c r="I20" s="116">
        <v>0</v>
      </c>
      <c r="J20" s="116">
        <v>0</v>
      </c>
      <c r="K20" s="116">
        <v>0</v>
      </c>
      <c r="L20" s="116">
        <v>0</v>
      </c>
      <c r="M20" s="117" t="s">
        <v>122</v>
      </c>
      <c r="N20" s="114" t="s">
        <v>775</v>
      </c>
      <c r="O20" s="109">
        <v>856</v>
      </c>
      <c r="P20" s="105"/>
      <c r="Q20" s="106"/>
    </row>
    <row r="21" spans="1:17" ht="10.5" customHeight="1">
      <c r="A21" s="89"/>
      <c r="B21" s="90"/>
      <c r="C21" s="94">
        <v>858</v>
      </c>
      <c r="D21" s="81" t="s">
        <v>715</v>
      </c>
      <c r="E21" s="83">
        <v>673</v>
      </c>
      <c r="F21" s="86">
        <v>538</v>
      </c>
      <c r="G21" s="86">
        <v>3</v>
      </c>
      <c r="H21" s="86">
        <v>621</v>
      </c>
      <c r="I21" s="110">
        <v>3</v>
      </c>
      <c r="J21" s="110">
        <v>755</v>
      </c>
      <c r="K21" s="110">
        <v>46</v>
      </c>
      <c r="L21" s="110">
        <v>46</v>
      </c>
      <c r="M21" s="112">
        <v>1326.84</v>
      </c>
      <c r="N21" s="114" t="s">
        <v>776</v>
      </c>
      <c r="O21" s="109">
        <v>858</v>
      </c>
      <c r="P21" s="105"/>
      <c r="Q21" s="106"/>
    </row>
    <row r="22" spans="1:17" ht="10.5" customHeight="1">
      <c r="A22" s="89"/>
      <c r="B22" s="90"/>
      <c r="C22" s="94">
        <v>859</v>
      </c>
      <c r="D22" s="81" t="s">
        <v>716</v>
      </c>
      <c r="E22" s="83">
        <v>6067</v>
      </c>
      <c r="F22" s="86">
        <v>4941</v>
      </c>
      <c r="G22" s="86">
        <v>127</v>
      </c>
      <c r="H22" s="86">
        <v>4698</v>
      </c>
      <c r="I22" s="110">
        <v>155</v>
      </c>
      <c r="J22" s="110">
        <v>6098</v>
      </c>
      <c r="K22" s="110">
        <v>155</v>
      </c>
      <c r="L22" s="110">
        <v>155</v>
      </c>
      <c r="M22" s="112">
        <v>42.27</v>
      </c>
      <c r="N22" s="114" t="s">
        <v>777</v>
      </c>
      <c r="O22" s="109">
        <v>859</v>
      </c>
      <c r="P22" s="105"/>
      <c r="Q22" s="106"/>
    </row>
    <row r="23" spans="1:17" ht="14.1" customHeight="1">
      <c r="A23" s="92" t="s">
        <v>757</v>
      </c>
      <c r="B23" s="90"/>
      <c r="C23" s="94"/>
      <c r="D23" s="82" t="s">
        <v>717</v>
      </c>
      <c r="E23" s="84">
        <v>2195</v>
      </c>
      <c r="F23" s="87">
        <v>7655</v>
      </c>
      <c r="G23" s="87">
        <v>42</v>
      </c>
      <c r="H23" s="87">
        <v>7581</v>
      </c>
      <c r="I23" s="111">
        <v>66</v>
      </c>
      <c r="J23" s="111">
        <v>8510</v>
      </c>
      <c r="K23" s="111">
        <v>34</v>
      </c>
      <c r="L23" s="111">
        <v>34</v>
      </c>
      <c r="M23" s="113">
        <v>-2.9</v>
      </c>
      <c r="N23" s="115" t="s">
        <v>778</v>
      </c>
      <c r="O23" s="109"/>
      <c r="P23" s="105"/>
      <c r="Q23" s="107" t="s">
        <v>757</v>
      </c>
    </row>
    <row r="24" spans="1:17" ht="10.5" customHeight="1">
      <c r="A24" s="89"/>
      <c r="B24" s="93">
        <v>86</v>
      </c>
      <c r="C24" s="94"/>
      <c r="D24" s="81" t="s">
        <v>718</v>
      </c>
      <c r="E24" s="83">
        <v>1216</v>
      </c>
      <c r="F24" s="86">
        <v>6630</v>
      </c>
      <c r="G24" s="86">
        <v>40</v>
      </c>
      <c r="H24" s="86">
        <v>6484</v>
      </c>
      <c r="I24" s="110">
        <v>57</v>
      </c>
      <c r="J24" s="110">
        <v>7274</v>
      </c>
      <c r="K24" s="110">
        <v>32</v>
      </c>
      <c r="L24" s="110">
        <v>32</v>
      </c>
      <c r="M24" s="112">
        <v>0.67</v>
      </c>
      <c r="N24" s="114" t="s">
        <v>779</v>
      </c>
      <c r="O24" s="109"/>
      <c r="P24" s="108">
        <v>86</v>
      </c>
      <c r="Q24" s="106"/>
    </row>
    <row r="25" spans="1:17" ht="10.5" customHeight="1">
      <c r="A25" s="89"/>
      <c r="B25" s="90"/>
      <c r="C25" s="94">
        <v>861</v>
      </c>
      <c r="D25" s="81" t="s">
        <v>719</v>
      </c>
      <c r="E25" s="83">
        <v>17</v>
      </c>
      <c r="F25" s="86">
        <v>4258</v>
      </c>
      <c r="G25" s="86">
        <v>0</v>
      </c>
      <c r="H25" s="86">
        <v>4018</v>
      </c>
      <c r="I25" s="110">
        <v>0</v>
      </c>
      <c r="J25" s="110">
        <v>4258</v>
      </c>
      <c r="K25" s="110">
        <v>0</v>
      </c>
      <c r="L25" s="110">
        <v>0</v>
      </c>
      <c r="M25" s="120">
        <v>0</v>
      </c>
      <c r="N25" s="114" t="s">
        <v>780</v>
      </c>
      <c r="O25" s="109">
        <v>861</v>
      </c>
      <c r="P25" s="105"/>
      <c r="Q25" s="106"/>
    </row>
    <row r="26" spans="1:17" ht="10.5" customHeight="1">
      <c r="A26" s="89"/>
      <c r="B26" s="90"/>
      <c r="C26" s="94">
        <v>862</v>
      </c>
      <c r="D26" s="81" t="s">
        <v>720</v>
      </c>
      <c r="E26" s="83">
        <v>11</v>
      </c>
      <c r="F26" s="86">
        <v>8</v>
      </c>
      <c r="G26" s="86">
        <v>0</v>
      </c>
      <c r="H26" s="86">
        <v>8</v>
      </c>
      <c r="I26" s="110">
        <v>0</v>
      </c>
      <c r="J26" s="110">
        <v>1</v>
      </c>
      <c r="K26" s="110">
        <v>0</v>
      </c>
      <c r="L26" s="110">
        <v>0</v>
      </c>
      <c r="M26" s="120">
        <v>0</v>
      </c>
      <c r="N26" s="114" t="s">
        <v>781</v>
      </c>
      <c r="O26" s="109">
        <v>862</v>
      </c>
      <c r="P26" s="105"/>
      <c r="Q26" s="106"/>
    </row>
    <row r="27" spans="1:17" ht="10.5" customHeight="1">
      <c r="A27" s="89"/>
      <c r="B27" s="90"/>
      <c r="C27" s="94">
        <v>869</v>
      </c>
      <c r="D27" s="81" t="s">
        <v>721</v>
      </c>
      <c r="E27" s="83">
        <v>1188</v>
      </c>
      <c r="F27" s="86">
        <v>2364</v>
      </c>
      <c r="G27" s="86">
        <v>40</v>
      </c>
      <c r="H27" s="86">
        <v>2457</v>
      </c>
      <c r="I27" s="110">
        <v>56</v>
      </c>
      <c r="J27" s="110">
        <v>3014</v>
      </c>
      <c r="K27" s="110">
        <v>32</v>
      </c>
      <c r="L27" s="110">
        <v>32</v>
      </c>
      <c r="M27" s="112">
        <v>0.68</v>
      </c>
      <c r="N27" s="114" t="s">
        <v>782</v>
      </c>
      <c r="O27" s="109">
        <v>869</v>
      </c>
      <c r="P27" s="105"/>
      <c r="Q27" s="106"/>
    </row>
    <row r="28" spans="1:17" ht="10.5" customHeight="1">
      <c r="A28" s="89"/>
      <c r="B28" s="93">
        <v>87</v>
      </c>
      <c r="C28" s="94"/>
      <c r="D28" s="81" t="s">
        <v>722</v>
      </c>
      <c r="E28" s="83">
        <v>318</v>
      </c>
      <c r="F28" s="86">
        <v>517</v>
      </c>
      <c r="G28" s="86">
        <v>0</v>
      </c>
      <c r="H28" s="86">
        <v>515</v>
      </c>
      <c r="I28" s="110">
        <v>0</v>
      </c>
      <c r="J28" s="110">
        <v>567</v>
      </c>
      <c r="K28" s="110">
        <v>0</v>
      </c>
      <c r="L28" s="110">
        <v>0</v>
      </c>
      <c r="M28" s="112">
        <v>-11.47</v>
      </c>
      <c r="N28" s="114" t="s">
        <v>783</v>
      </c>
      <c r="O28" s="109"/>
      <c r="P28" s="108">
        <v>87</v>
      </c>
      <c r="Q28" s="106"/>
    </row>
    <row r="29" spans="1:17" ht="10.5" customHeight="1">
      <c r="A29" s="89"/>
      <c r="B29" s="90"/>
      <c r="C29" s="94">
        <v>871</v>
      </c>
      <c r="D29" s="81" t="s">
        <v>723</v>
      </c>
      <c r="E29" s="83">
        <v>120</v>
      </c>
      <c r="F29" s="86">
        <v>305</v>
      </c>
      <c r="G29" s="86">
        <v>0</v>
      </c>
      <c r="H29" s="86">
        <v>297</v>
      </c>
      <c r="I29" s="116">
        <v>0</v>
      </c>
      <c r="J29" s="110">
        <v>324</v>
      </c>
      <c r="K29" s="110">
        <v>0</v>
      </c>
      <c r="L29" s="110">
        <v>0</v>
      </c>
      <c r="M29" s="117" t="s">
        <v>122</v>
      </c>
      <c r="N29" s="114" t="s">
        <v>784</v>
      </c>
      <c r="O29" s="109">
        <v>871</v>
      </c>
      <c r="P29" s="105"/>
      <c r="Q29" s="106"/>
    </row>
    <row r="30" spans="1:17" ht="10.5" customHeight="1">
      <c r="A30" s="89"/>
      <c r="B30" s="90"/>
      <c r="C30" s="94">
        <v>879</v>
      </c>
      <c r="D30" s="81" t="s">
        <v>724</v>
      </c>
      <c r="E30" s="83">
        <v>198</v>
      </c>
      <c r="F30" s="86">
        <v>212</v>
      </c>
      <c r="G30" s="86">
        <v>0</v>
      </c>
      <c r="H30" s="86">
        <v>218</v>
      </c>
      <c r="I30" s="110">
        <v>0</v>
      </c>
      <c r="J30" s="110">
        <v>243</v>
      </c>
      <c r="K30" s="110">
        <v>0</v>
      </c>
      <c r="L30" s="110">
        <v>0</v>
      </c>
      <c r="M30" s="112">
        <v>-13.02</v>
      </c>
      <c r="N30" s="114" t="s">
        <v>785</v>
      </c>
      <c r="O30" s="109">
        <v>879</v>
      </c>
      <c r="P30" s="105"/>
      <c r="Q30" s="106"/>
    </row>
    <row r="31" spans="1:17" ht="10.5" customHeight="1">
      <c r="A31" s="89"/>
      <c r="B31" s="93">
        <v>88</v>
      </c>
      <c r="C31" s="94"/>
      <c r="D31" s="81" t="s">
        <v>725</v>
      </c>
      <c r="E31" s="83">
        <v>661</v>
      </c>
      <c r="F31" s="86">
        <v>507</v>
      </c>
      <c r="G31" s="86">
        <v>2</v>
      </c>
      <c r="H31" s="86">
        <v>582</v>
      </c>
      <c r="I31" s="110">
        <v>9</v>
      </c>
      <c r="J31" s="110">
        <v>669</v>
      </c>
      <c r="K31" s="110">
        <v>2</v>
      </c>
      <c r="L31" s="110">
        <v>2</v>
      </c>
      <c r="M31" s="112">
        <v>-40.15</v>
      </c>
      <c r="N31" s="114" t="s">
        <v>786</v>
      </c>
      <c r="O31" s="109"/>
      <c r="P31" s="108">
        <v>88</v>
      </c>
      <c r="Q31" s="106"/>
    </row>
    <row r="32" spans="1:17" ht="10.5" customHeight="1">
      <c r="A32" s="89"/>
      <c r="B32" s="90"/>
      <c r="C32" s="94">
        <v>881</v>
      </c>
      <c r="D32" s="81" t="s">
        <v>726</v>
      </c>
      <c r="E32" s="83">
        <v>370</v>
      </c>
      <c r="F32" s="86">
        <v>185</v>
      </c>
      <c r="G32" s="86">
        <v>0</v>
      </c>
      <c r="H32" s="86">
        <v>205</v>
      </c>
      <c r="I32" s="110">
        <v>0</v>
      </c>
      <c r="J32" s="110">
        <v>286</v>
      </c>
      <c r="K32" s="110">
        <v>0</v>
      </c>
      <c r="L32" s="110">
        <v>0</v>
      </c>
      <c r="M32" s="112">
        <v>197.58</v>
      </c>
      <c r="N32" s="114" t="s">
        <v>787</v>
      </c>
      <c r="O32" s="109">
        <v>881</v>
      </c>
      <c r="P32" s="105"/>
      <c r="Q32" s="106"/>
    </row>
    <row r="33" spans="1:17" ht="10.5" customHeight="1">
      <c r="A33" s="89"/>
      <c r="B33" s="90"/>
      <c r="C33" s="94">
        <v>889</v>
      </c>
      <c r="D33" s="81" t="s">
        <v>727</v>
      </c>
      <c r="E33" s="83">
        <v>291</v>
      </c>
      <c r="F33" s="86">
        <v>322</v>
      </c>
      <c r="G33" s="86">
        <v>2</v>
      </c>
      <c r="H33" s="86">
        <v>377</v>
      </c>
      <c r="I33" s="110">
        <v>9</v>
      </c>
      <c r="J33" s="110">
        <v>383</v>
      </c>
      <c r="K33" s="110">
        <v>2</v>
      </c>
      <c r="L33" s="110">
        <v>2</v>
      </c>
      <c r="M33" s="112">
        <v>-46.97</v>
      </c>
      <c r="N33" s="114" t="s">
        <v>788</v>
      </c>
      <c r="O33" s="109">
        <v>889</v>
      </c>
      <c r="P33" s="105"/>
      <c r="Q33" s="106"/>
    </row>
    <row r="34" spans="1:17" ht="14.1" customHeight="1">
      <c r="A34" s="92" t="s">
        <v>758</v>
      </c>
      <c r="B34" s="90"/>
      <c r="C34" s="94"/>
      <c r="D34" s="82" t="s">
        <v>728</v>
      </c>
      <c r="E34" s="84">
        <v>41863</v>
      </c>
      <c r="F34" s="87">
        <v>26083</v>
      </c>
      <c r="G34" s="87">
        <v>1847</v>
      </c>
      <c r="H34" s="87">
        <v>22022</v>
      </c>
      <c r="I34" s="111">
        <v>1891</v>
      </c>
      <c r="J34" s="111">
        <v>27006</v>
      </c>
      <c r="K34" s="111">
        <v>1841</v>
      </c>
      <c r="L34" s="111">
        <v>1841</v>
      </c>
      <c r="M34" s="113">
        <v>4.91</v>
      </c>
      <c r="N34" s="115" t="s">
        <v>789</v>
      </c>
      <c r="O34" s="109"/>
      <c r="P34" s="105"/>
      <c r="Q34" s="107" t="s">
        <v>758</v>
      </c>
    </row>
    <row r="35" spans="1:17" ht="10.5" customHeight="1">
      <c r="A35" s="89"/>
      <c r="B35" s="93">
        <v>90</v>
      </c>
      <c r="C35" s="94"/>
      <c r="D35" s="81" t="s">
        <v>729</v>
      </c>
      <c r="E35" s="83">
        <v>6789</v>
      </c>
      <c r="F35" s="86">
        <v>6134</v>
      </c>
      <c r="G35" s="86">
        <v>96</v>
      </c>
      <c r="H35" s="86">
        <v>6683</v>
      </c>
      <c r="I35" s="110">
        <v>128</v>
      </c>
      <c r="J35" s="110">
        <v>9057</v>
      </c>
      <c r="K35" s="110">
        <v>140</v>
      </c>
      <c r="L35" s="110">
        <v>140</v>
      </c>
      <c r="M35" s="112">
        <v>53.64</v>
      </c>
      <c r="N35" s="114" t="s">
        <v>790</v>
      </c>
      <c r="O35" s="109"/>
      <c r="P35" s="108">
        <v>90</v>
      </c>
      <c r="Q35" s="106"/>
    </row>
    <row r="36" spans="1:17" ht="10.5" customHeight="1">
      <c r="A36" s="89"/>
      <c r="B36" s="90"/>
      <c r="C36" s="94">
        <v>901</v>
      </c>
      <c r="D36" s="81" t="s">
        <v>730</v>
      </c>
      <c r="E36" s="83">
        <v>524</v>
      </c>
      <c r="F36" s="86">
        <v>149</v>
      </c>
      <c r="G36" s="86">
        <v>9</v>
      </c>
      <c r="H36" s="86">
        <v>147</v>
      </c>
      <c r="I36" s="110">
        <v>9</v>
      </c>
      <c r="J36" s="110">
        <v>328</v>
      </c>
      <c r="K36" s="110">
        <v>9</v>
      </c>
      <c r="L36" s="110">
        <v>9</v>
      </c>
      <c r="M36" s="112">
        <v>17.43</v>
      </c>
      <c r="N36" s="114" t="s">
        <v>791</v>
      </c>
      <c r="O36" s="109">
        <v>901</v>
      </c>
      <c r="P36" s="105"/>
      <c r="Q36" s="106"/>
    </row>
    <row r="37" spans="1:17" ht="10.5" customHeight="1">
      <c r="A37" s="89"/>
      <c r="B37" s="90"/>
      <c r="C37" s="94">
        <v>902</v>
      </c>
      <c r="D37" s="81" t="s">
        <v>731</v>
      </c>
      <c r="E37" s="83">
        <v>2055</v>
      </c>
      <c r="F37" s="86">
        <v>1066</v>
      </c>
      <c r="G37" s="86">
        <v>38</v>
      </c>
      <c r="H37" s="86">
        <v>1264</v>
      </c>
      <c r="I37" s="110">
        <v>47</v>
      </c>
      <c r="J37" s="110">
        <v>1496</v>
      </c>
      <c r="K37" s="110">
        <v>37</v>
      </c>
      <c r="L37" s="110">
        <v>37</v>
      </c>
      <c r="M37" s="112">
        <v>-10.89</v>
      </c>
      <c r="N37" s="114" t="s">
        <v>792</v>
      </c>
      <c r="O37" s="109">
        <v>902</v>
      </c>
      <c r="P37" s="105"/>
      <c r="Q37" s="106"/>
    </row>
    <row r="38" spans="1:17" ht="10.5" customHeight="1">
      <c r="A38" s="89"/>
      <c r="B38" s="90"/>
      <c r="C38" s="94">
        <v>903</v>
      </c>
      <c r="D38" s="81" t="s">
        <v>732</v>
      </c>
      <c r="E38" s="83">
        <v>4210</v>
      </c>
      <c r="F38" s="86">
        <v>4919</v>
      </c>
      <c r="G38" s="86">
        <v>49</v>
      </c>
      <c r="H38" s="86">
        <v>5272</v>
      </c>
      <c r="I38" s="110">
        <v>72</v>
      </c>
      <c r="J38" s="110">
        <v>7232</v>
      </c>
      <c r="K38" s="110">
        <v>93</v>
      </c>
      <c r="L38" s="110">
        <v>93</v>
      </c>
      <c r="M38" s="112">
        <v>127.18</v>
      </c>
      <c r="N38" s="114" t="s">
        <v>793</v>
      </c>
      <c r="O38" s="109">
        <v>903</v>
      </c>
      <c r="P38" s="105"/>
      <c r="Q38" s="106"/>
    </row>
    <row r="39" spans="1:17" ht="10.5" customHeight="1">
      <c r="A39" s="89"/>
      <c r="B39" s="93">
        <v>91</v>
      </c>
      <c r="C39" s="94"/>
      <c r="D39" s="81" t="s">
        <v>733</v>
      </c>
      <c r="E39" s="83">
        <v>56</v>
      </c>
      <c r="F39" s="86">
        <v>84</v>
      </c>
      <c r="G39" s="86">
        <v>0</v>
      </c>
      <c r="H39" s="86">
        <v>49</v>
      </c>
      <c r="I39" s="110">
        <v>0</v>
      </c>
      <c r="J39" s="110">
        <v>102</v>
      </c>
      <c r="K39" s="110">
        <v>0</v>
      </c>
      <c r="L39" s="110">
        <v>0</v>
      </c>
      <c r="M39" s="112">
        <v>47.59</v>
      </c>
      <c r="N39" s="114" t="s">
        <v>794</v>
      </c>
      <c r="O39" s="109"/>
      <c r="P39" s="108">
        <v>91</v>
      </c>
      <c r="Q39" s="106"/>
    </row>
    <row r="40" spans="1:17" ht="10.5" customHeight="1">
      <c r="A40" s="89"/>
      <c r="B40" s="90"/>
      <c r="C40" s="94">
        <v>910</v>
      </c>
      <c r="D40" s="81" t="s">
        <v>734</v>
      </c>
      <c r="E40" s="83">
        <v>56</v>
      </c>
      <c r="F40" s="86">
        <v>84</v>
      </c>
      <c r="G40" s="86">
        <v>0</v>
      </c>
      <c r="H40" s="86">
        <v>49</v>
      </c>
      <c r="I40" s="110">
        <v>0</v>
      </c>
      <c r="J40" s="110">
        <v>102</v>
      </c>
      <c r="K40" s="110">
        <v>0</v>
      </c>
      <c r="L40" s="110">
        <v>0</v>
      </c>
      <c r="M40" s="112">
        <v>47.59</v>
      </c>
      <c r="N40" s="114" t="s">
        <v>795</v>
      </c>
      <c r="O40" s="109">
        <v>910</v>
      </c>
      <c r="P40" s="105"/>
      <c r="Q40" s="106"/>
    </row>
    <row r="41" spans="1:17" ht="10.5" customHeight="1">
      <c r="A41" s="89"/>
      <c r="B41" s="93">
        <v>92</v>
      </c>
      <c r="C41" s="94"/>
      <c r="D41" s="81" t="s">
        <v>735</v>
      </c>
      <c r="E41" s="83">
        <v>12340</v>
      </c>
      <c r="F41" s="86">
        <v>2953</v>
      </c>
      <c r="G41" s="86">
        <v>11</v>
      </c>
      <c r="H41" s="86">
        <v>1169</v>
      </c>
      <c r="I41" s="110">
        <v>11</v>
      </c>
      <c r="J41" s="110">
        <v>1263</v>
      </c>
      <c r="K41" s="110">
        <v>8</v>
      </c>
      <c r="L41" s="110">
        <v>8</v>
      </c>
      <c r="M41" s="112">
        <v>13.09</v>
      </c>
      <c r="N41" s="114" t="s">
        <v>796</v>
      </c>
      <c r="O41" s="109"/>
      <c r="P41" s="108">
        <v>92</v>
      </c>
      <c r="Q41" s="106"/>
    </row>
    <row r="42" spans="1:17" ht="10.5" customHeight="1">
      <c r="A42" s="89"/>
      <c r="B42" s="90"/>
      <c r="C42" s="94">
        <v>920</v>
      </c>
      <c r="D42" s="81" t="s">
        <v>736</v>
      </c>
      <c r="E42" s="83">
        <v>12340</v>
      </c>
      <c r="F42" s="86">
        <v>2953</v>
      </c>
      <c r="G42" s="86">
        <v>11</v>
      </c>
      <c r="H42" s="86">
        <v>1169</v>
      </c>
      <c r="I42" s="110">
        <v>11</v>
      </c>
      <c r="J42" s="110">
        <v>1263</v>
      </c>
      <c r="K42" s="110">
        <v>8</v>
      </c>
      <c r="L42" s="110">
        <v>8</v>
      </c>
      <c r="M42" s="112">
        <v>13.09</v>
      </c>
      <c r="N42" s="114" t="s">
        <v>797</v>
      </c>
      <c r="O42" s="109">
        <v>920</v>
      </c>
      <c r="P42" s="105"/>
      <c r="Q42" s="106"/>
    </row>
    <row r="43" spans="1:17" ht="10.5" customHeight="1">
      <c r="A43" s="89"/>
      <c r="B43" s="93">
        <v>93</v>
      </c>
      <c r="C43" s="94"/>
      <c r="D43" s="81" t="s">
        <v>737</v>
      </c>
      <c r="E43" s="83">
        <v>22678</v>
      </c>
      <c r="F43" s="86">
        <v>16912</v>
      </c>
      <c r="G43" s="86">
        <v>1738</v>
      </c>
      <c r="H43" s="86">
        <v>14121</v>
      </c>
      <c r="I43" s="110">
        <v>1751</v>
      </c>
      <c r="J43" s="110">
        <v>16584</v>
      </c>
      <c r="K43" s="110">
        <v>1693</v>
      </c>
      <c r="L43" s="110">
        <v>1693</v>
      </c>
      <c r="M43" s="112">
        <v>2.19</v>
      </c>
      <c r="N43" s="114" t="s">
        <v>798</v>
      </c>
      <c r="O43" s="109"/>
      <c r="P43" s="108">
        <v>93</v>
      </c>
      <c r="Q43" s="106"/>
    </row>
    <row r="44" spans="1:17" ht="10.5" customHeight="1">
      <c r="A44" s="89"/>
      <c r="B44" s="90"/>
      <c r="C44" s="94">
        <v>931</v>
      </c>
      <c r="D44" s="81" t="s">
        <v>738</v>
      </c>
      <c r="E44" s="83">
        <v>4764</v>
      </c>
      <c r="F44" s="86">
        <v>8515</v>
      </c>
      <c r="G44" s="86">
        <v>137</v>
      </c>
      <c r="H44" s="86">
        <v>6967</v>
      </c>
      <c r="I44" s="110">
        <v>132</v>
      </c>
      <c r="J44" s="110">
        <v>7835</v>
      </c>
      <c r="K44" s="110">
        <v>124</v>
      </c>
      <c r="L44" s="110">
        <v>124</v>
      </c>
      <c r="M44" s="112">
        <v>11.91</v>
      </c>
      <c r="N44" s="114" t="s">
        <v>799</v>
      </c>
      <c r="O44" s="109">
        <v>931</v>
      </c>
      <c r="P44" s="105"/>
      <c r="Q44" s="106"/>
    </row>
    <row r="45" spans="1:17" ht="10.5" customHeight="1">
      <c r="A45" s="89"/>
      <c r="B45" s="90"/>
      <c r="C45" s="94">
        <v>932</v>
      </c>
      <c r="D45" s="81" t="s">
        <v>739</v>
      </c>
      <c r="E45" s="83">
        <v>17914</v>
      </c>
      <c r="F45" s="86">
        <v>8396</v>
      </c>
      <c r="G45" s="86">
        <v>1601</v>
      </c>
      <c r="H45" s="86">
        <v>7154</v>
      </c>
      <c r="I45" s="110">
        <v>1620</v>
      </c>
      <c r="J45" s="110">
        <v>8749</v>
      </c>
      <c r="K45" s="110">
        <v>1569</v>
      </c>
      <c r="L45" s="110">
        <v>1569</v>
      </c>
      <c r="M45" s="112">
        <v>1.49</v>
      </c>
      <c r="N45" s="114" t="s">
        <v>800</v>
      </c>
      <c r="O45" s="109">
        <v>932</v>
      </c>
      <c r="P45" s="105"/>
      <c r="Q45" s="106"/>
    </row>
    <row r="46" spans="1:17" ht="14.1" customHeight="1">
      <c r="A46" s="92" t="s">
        <v>759</v>
      </c>
      <c r="B46" s="90"/>
      <c r="C46" s="94"/>
      <c r="D46" s="82" t="s">
        <v>740</v>
      </c>
      <c r="E46" s="84">
        <v>94534</v>
      </c>
      <c r="F46" s="87">
        <v>44563</v>
      </c>
      <c r="G46" s="87">
        <v>5905</v>
      </c>
      <c r="H46" s="87">
        <v>45287</v>
      </c>
      <c r="I46" s="111">
        <v>6091</v>
      </c>
      <c r="J46" s="111">
        <v>50547</v>
      </c>
      <c r="K46" s="111">
        <v>5891</v>
      </c>
      <c r="L46" s="111">
        <v>5891</v>
      </c>
      <c r="M46" s="113">
        <v>3.74</v>
      </c>
      <c r="N46" s="115" t="s">
        <v>801</v>
      </c>
      <c r="O46" s="109"/>
      <c r="P46" s="105"/>
      <c r="Q46" s="107" t="s">
        <v>759</v>
      </c>
    </row>
    <row r="47" spans="1:17" ht="10.5" customHeight="1">
      <c r="A47" s="89"/>
      <c r="B47" s="93">
        <v>94</v>
      </c>
      <c r="C47" s="94"/>
      <c r="D47" s="81" t="s">
        <v>741</v>
      </c>
      <c r="E47" s="83">
        <v>665</v>
      </c>
      <c r="F47" s="86">
        <v>4070</v>
      </c>
      <c r="G47" s="86">
        <v>12</v>
      </c>
      <c r="H47" s="86">
        <v>3864</v>
      </c>
      <c r="I47" s="110">
        <v>11</v>
      </c>
      <c r="J47" s="110">
        <v>5320</v>
      </c>
      <c r="K47" s="110">
        <v>19</v>
      </c>
      <c r="L47" s="110">
        <v>19</v>
      </c>
      <c r="M47" s="112">
        <v>133.75</v>
      </c>
      <c r="N47" s="114" t="s">
        <v>802</v>
      </c>
      <c r="O47" s="109"/>
      <c r="P47" s="108">
        <v>94</v>
      </c>
      <c r="Q47" s="106"/>
    </row>
    <row r="48" spans="1:17" ht="10.5" customHeight="1">
      <c r="A48" s="89"/>
      <c r="B48" s="90"/>
      <c r="C48" s="94">
        <v>941</v>
      </c>
      <c r="D48" s="81" t="s">
        <v>742</v>
      </c>
      <c r="E48" s="83">
        <v>16</v>
      </c>
      <c r="F48" s="86">
        <v>16</v>
      </c>
      <c r="G48" s="86">
        <v>0</v>
      </c>
      <c r="H48" s="86">
        <v>17</v>
      </c>
      <c r="I48" s="110">
        <v>0</v>
      </c>
      <c r="J48" s="110">
        <v>19</v>
      </c>
      <c r="K48" s="110">
        <v>0</v>
      </c>
      <c r="L48" s="110">
        <v>0</v>
      </c>
      <c r="M48" s="120">
        <v>0</v>
      </c>
      <c r="N48" s="114" t="s">
        <v>803</v>
      </c>
      <c r="O48" s="109">
        <v>941</v>
      </c>
      <c r="P48" s="105"/>
      <c r="Q48" s="106"/>
    </row>
    <row r="49" spans="1:17" ht="20.100000000000001" customHeight="1">
      <c r="A49" s="89"/>
      <c r="B49" s="90"/>
      <c r="C49" s="94">
        <v>942</v>
      </c>
      <c r="D49" s="81" t="s">
        <v>743</v>
      </c>
      <c r="E49" s="83">
        <v>211</v>
      </c>
      <c r="F49" s="86">
        <v>1578</v>
      </c>
      <c r="G49" s="86">
        <v>3</v>
      </c>
      <c r="H49" s="86">
        <v>1590</v>
      </c>
      <c r="I49" s="110">
        <v>5</v>
      </c>
      <c r="J49" s="110">
        <v>2300</v>
      </c>
      <c r="K49" s="110">
        <v>11</v>
      </c>
      <c r="L49" s="110">
        <v>11</v>
      </c>
      <c r="M49" s="112">
        <v>261.06</v>
      </c>
      <c r="N49" s="114" t="s">
        <v>804</v>
      </c>
      <c r="O49" s="109">
        <v>942</v>
      </c>
      <c r="P49" s="105"/>
      <c r="Q49" s="106"/>
    </row>
    <row r="50" spans="1:17" ht="10.5" customHeight="1">
      <c r="A50" s="89"/>
      <c r="B50" s="90"/>
      <c r="C50" s="94">
        <v>949</v>
      </c>
      <c r="D50" s="81" t="s">
        <v>744</v>
      </c>
      <c r="E50" s="83">
        <v>438</v>
      </c>
      <c r="F50" s="86">
        <v>2476</v>
      </c>
      <c r="G50" s="86">
        <v>9</v>
      </c>
      <c r="H50" s="86">
        <v>2257</v>
      </c>
      <c r="I50" s="110">
        <v>5</v>
      </c>
      <c r="J50" s="110">
        <v>3002</v>
      </c>
      <c r="K50" s="110">
        <v>8</v>
      </c>
      <c r="L50" s="110">
        <v>8</v>
      </c>
      <c r="M50" s="112">
        <v>64.53</v>
      </c>
      <c r="N50" s="114" t="s">
        <v>805</v>
      </c>
      <c r="O50" s="109">
        <v>949</v>
      </c>
      <c r="P50" s="105"/>
      <c r="Q50" s="106"/>
    </row>
    <row r="51" spans="1:17" ht="10.5" customHeight="1">
      <c r="A51" s="89"/>
      <c r="B51" s="93">
        <v>95</v>
      </c>
      <c r="C51" s="94"/>
      <c r="D51" s="81" t="s">
        <v>745</v>
      </c>
      <c r="E51" s="83">
        <v>33247</v>
      </c>
      <c r="F51" s="86">
        <v>26786</v>
      </c>
      <c r="G51" s="86">
        <v>1587</v>
      </c>
      <c r="H51" s="86">
        <v>26756</v>
      </c>
      <c r="I51" s="110">
        <v>1626</v>
      </c>
      <c r="J51" s="110">
        <v>28927</v>
      </c>
      <c r="K51" s="110">
        <v>1579</v>
      </c>
      <c r="L51" s="110">
        <v>1579</v>
      </c>
      <c r="M51" s="112">
        <v>-0.01</v>
      </c>
      <c r="N51" s="114" t="s">
        <v>806</v>
      </c>
      <c r="O51" s="109"/>
      <c r="P51" s="108">
        <v>95</v>
      </c>
      <c r="Q51" s="106"/>
    </row>
    <row r="52" spans="1:17" ht="20.100000000000001" customHeight="1">
      <c r="A52" s="89"/>
      <c r="B52" s="90"/>
      <c r="C52" s="94">
        <v>951</v>
      </c>
      <c r="D52" s="81" t="s">
        <v>746</v>
      </c>
      <c r="E52" s="83">
        <v>15629</v>
      </c>
      <c r="F52" s="86">
        <v>19744</v>
      </c>
      <c r="G52" s="86">
        <v>563</v>
      </c>
      <c r="H52" s="86">
        <v>19067</v>
      </c>
      <c r="I52" s="110">
        <v>584</v>
      </c>
      <c r="J52" s="110">
        <v>20679</v>
      </c>
      <c r="K52" s="110">
        <v>559</v>
      </c>
      <c r="L52" s="110">
        <v>559</v>
      </c>
      <c r="M52" s="112">
        <v>-0.1</v>
      </c>
      <c r="N52" s="114" t="s">
        <v>807</v>
      </c>
      <c r="O52" s="109">
        <v>951</v>
      </c>
      <c r="P52" s="105"/>
      <c r="Q52" s="106"/>
    </row>
    <row r="53" spans="1:17" ht="20.100000000000001" customHeight="1">
      <c r="A53" s="89"/>
      <c r="B53" s="90"/>
      <c r="C53" s="94">
        <v>952</v>
      </c>
      <c r="D53" s="81" t="s">
        <v>747</v>
      </c>
      <c r="E53" s="83">
        <v>4204</v>
      </c>
      <c r="F53" s="86">
        <v>3761</v>
      </c>
      <c r="G53" s="86">
        <v>166</v>
      </c>
      <c r="H53" s="86">
        <v>4359</v>
      </c>
      <c r="I53" s="110">
        <v>173</v>
      </c>
      <c r="J53" s="110">
        <v>4620</v>
      </c>
      <c r="K53" s="110">
        <v>164</v>
      </c>
      <c r="L53" s="110">
        <v>164</v>
      </c>
      <c r="M53" s="112">
        <v>-2</v>
      </c>
      <c r="N53" s="114" t="s">
        <v>808</v>
      </c>
      <c r="O53" s="109">
        <v>952</v>
      </c>
      <c r="P53" s="105"/>
      <c r="Q53" s="106"/>
    </row>
    <row r="54" spans="1:17" ht="20.100000000000001" customHeight="1">
      <c r="A54" s="89"/>
      <c r="B54" s="90"/>
      <c r="C54" s="94">
        <v>959</v>
      </c>
      <c r="D54" s="81" t="s">
        <v>748</v>
      </c>
      <c r="E54" s="83">
        <v>13414</v>
      </c>
      <c r="F54" s="86">
        <v>3281</v>
      </c>
      <c r="G54" s="86">
        <v>858</v>
      </c>
      <c r="H54" s="86">
        <v>3331</v>
      </c>
      <c r="I54" s="110">
        <v>870</v>
      </c>
      <c r="J54" s="110">
        <v>3628</v>
      </c>
      <c r="K54" s="110">
        <v>857</v>
      </c>
      <c r="L54" s="110">
        <v>857</v>
      </c>
      <c r="M54" s="112">
        <v>0.45</v>
      </c>
      <c r="N54" s="114" t="s">
        <v>809</v>
      </c>
      <c r="O54" s="109">
        <v>959</v>
      </c>
      <c r="P54" s="105"/>
      <c r="Q54" s="106"/>
    </row>
    <row r="55" spans="1:17" ht="10.5" customHeight="1">
      <c r="A55" s="89"/>
      <c r="B55" s="93">
        <v>96</v>
      </c>
      <c r="C55" s="94"/>
      <c r="D55" s="81" t="s">
        <v>749</v>
      </c>
      <c r="E55" s="83">
        <v>60622</v>
      </c>
      <c r="F55" s="86">
        <v>13707</v>
      </c>
      <c r="G55" s="86">
        <v>4306</v>
      </c>
      <c r="H55" s="86">
        <v>14666</v>
      </c>
      <c r="I55" s="110">
        <v>4454</v>
      </c>
      <c r="J55" s="110">
        <v>16300</v>
      </c>
      <c r="K55" s="110">
        <v>4292</v>
      </c>
      <c r="L55" s="110">
        <v>4292</v>
      </c>
      <c r="M55" s="112">
        <v>4.93</v>
      </c>
      <c r="N55" s="114" t="s">
        <v>810</v>
      </c>
      <c r="O55" s="109"/>
      <c r="P55" s="108">
        <v>96</v>
      </c>
      <c r="Q55" s="106"/>
    </row>
    <row r="56" spans="1:17" ht="10.5" customHeight="1">
      <c r="A56" s="89"/>
      <c r="B56" s="90"/>
      <c r="C56" s="94">
        <v>961</v>
      </c>
      <c r="D56" s="81" t="s">
        <v>750</v>
      </c>
      <c r="E56" s="83">
        <v>7235</v>
      </c>
      <c r="F56" s="86">
        <v>1662</v>
      </c>
      <c r="G56" s="86">
        <v>397</v>
      </c>
      <c r="H56" s="86">
        <v>1599</v>
      </c>
      <c r="I56" s="110">
        <v>402</v>
      </c>
      <c r="J56" s="110">
        <v>1829</v>
      </c>
      <c r="K56" s="110">
        <v>399</v>
      </c>
      <c r="L56" s="110">
        <v>399</v>
      </c>
      <c r="M56" s="112">
        <v>2.66</v>
      </c>
      <c r="N56" s="114" t="s">
        <v>811</v>
      </c>
      <c r="O56" s="109">
        <v>961</v>
      </c>
      <c r="P56" s="105"/>
      <c r="Q56" s="106"/>
    </row>
    <row r="57" spans="1:17" ht="10.5" customHeight="1">
      <c r="A57" s="89"/>
      <c r="B57" s="90"/>
      <c r="C57" s="94">
        <v>962</v>
      </c>
      <c r="D57" s="81" t="s">
        <v>751</v>
      </c>
      <c r="E57" s="83">
        <v>35343</v>
      </c>
      <c r="F57" s="86">
        <v>4580</v>
      </c>
      <c r="G57" s="86">
        <v>2986</v>
      </c>
      <c r="H57" s="86">
        <v>4907</v>
      </c>
      <c r="I57" s="110">
        <v>3101</v>
      </c>
      <c r="J57" s="110">
        <v>4985</v>
      </c>
      <c r="K57" s="110">
        <v>2978</v>
      </c>
      <c r="L57" s="110">
        <v>2978</v>
      </c>
      <c r="M57" s="112">
        <v>6.27</v>
      </c>
      <c r="N57" s="114" t="s">
        <v>812</v>
      </c>
      <c r="O57" s="109">
        <v>962</v>
      </c>
      <c r="P57" s="105"/>
      <c r="Q57" s="106"/>
    </row>
    <row r="58" spans="1:17" ht="10.5" customHeight="1">
      <c r="A58" s="89"/>
      <c r="B58" s="90"/>
      <c r="C58" s="94">
        <v>963</v>
      </c>
      <c r="D58" s="81" t="s">
        <v>752</v>
      </c>
      <c r="E58" s="83">
        <v>4523</v>
      </c>
      <c r="F58" s="86">
        <v>3677</v>
      </c>
      <c r="G58" s="86">
        <v>150</v>
      </c>
      <c r="H58" s="86">
        <v>3422</v>
      </c>
      <c r="I58" s="110">
        <v>152</v>
      </c>
      <c r="J58" s="110">
        <v>4641</v>
      </c>
      <c r="K58" s="110">
        <v>155</v>
      </c>
      <c r="L58" s="110">
        <v>155</v>
      </c>
      <c r="M58" s="112">
        <v>4.2300000000000004</v>
      </c>
      <c r="N58" s="114" t="s">
        <v>813</v>
      </c>
      <c r="O58" s="109">
        <v>963</v>
      </c>
      <c r="P58" s="105"/>
      <c r="Q58" s="106"/>
    </row>
    <row r="59" spans="1:17" ht="10.5" customHeight="1">
      <c r="A59" s="89"/>
      <c r="B59" s="90"/>
      <c r="C59" s="94">
        <v>964</v>
      </c>
      <c r="D59" s="81" t="s">
        <v>753</v>
      </c>
      <c r="E59" s="83">
        <v>76</v>
      </c>
      <c r="F59" s="86">
        <v>33</v>
      </c>
      <c r="G59" s="86">
        <v>2</v>
      </c>
      <c r="H59" s="86">
        <v>733</v>
      </c>
      <c r="I59" s="110">
        <v>2</v>
      </c>
      <c r="J59" s="110">
        <v>385</v>
      </c>
      <c r="K59" s="110">
        <v>2</v>
      </c>
      <c r="L59" s="110">
        <v>2</v>
      </c>
      <c r="M59" s="112">
        <v>-3.26</v>
      </c>
      <c r="N59" s="114" t="s">
        <v>814</v>
      </c>
      <c r="O59" s="109">
        <v>964</v>
      </c>
      <c r="P59" s="105"/>
      <c r="Q59" s="106"/>
    </row>
    <row r="60" spans="1:17" ht="10.5" customHeight="1">
      <c r="A60" s="89"/>
      <c r="B60" s="90"/>
      <c r="C60" s="94">
        <v>969</v>
      </c>
      <c r="D60" s="81" t="s">
        <v>754</v>
      </c>
      <c r="E60" s="83">
        <v>13445</v>
      </c>
      <c r="F60" s="86">
        <v>3755</v>
      </c>
      <c r="G60" s="86">
        <v>770</v>
      </c>
      <c r="H60" s="86">
        <v>4004</v>
      </c>
      <c r="I60" s="110">
        <v>798</v>
      </c>
      <c r="J60" s="110">
        <v>4459</v>
      </c>
      <c r="K60" s="110">
        <v>759</v>
      </c>
      <c r="L60" s="110">
        <v>759</v>
      </c>
      <c r="M60" s="112">
        <v>1.25</v>
      </c>
      <c r="N60" s="114" t="s">
        <v>815</v>
      </c>
      <c r="O60" s="109">
        <v>969</v>
      </c>
      <c r="P60" s="105"/>
      <c r="Q60" s="106"/>
    </row>
    <row r="61" spans="1:17" ht="14.1" customHeight="1">
      <c r="A61" s="127" t="s">
        <v>760</v>
      </c>
      <c r="B61" s="90"/>
      <c r="C61" s="94"/>
      <c r="D61" s="82" t="s">
        <v>755</v>
      </c>
      <c r="E61" s="84">
        <v>517</v>
      </c>
      <c r="F61" s="87">
        <v>3526</v>
      </c>
      <c r="G61" s="87">
        <v>3129</v>
      </c>
      <c r="H61" s="87">
        <v>2940</v>
      </c>
      <c r="I61" s="111">
        <v>1818</v>
      </c>
      <c r="J61" s="111">
        <v>6932</v>
      </c>
      <c r="K61" s="111">
        <v>887</v>
      </c>
      <c r="L61" s="111">
        <v>887</v>
      </c>
      <c r="M61" s="113">
        <v>13.35</v>
      </c>
      <c r="N61" s="115" t="s">
        <v>816</v>
      </c>
      <c r="O61" s="109"/>
      <c r="P61" s="105"/>
      <c r="Q61" s="128" t="s">
        <v>760</v>
      </c>
    </row>
    <row r="62" spans="1:17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11"/>
      <c r="M62" s="37"/>
      <c r="N62" s="39"/>
      <c r="O62" s="9"/>
      <c r="P62" s="9"/>
      <c r="Q62" s="7"/>
    </row>
    <row r="64" spans="1:17" ht="15" customHeight="1"/>
  </sheetData>
  <mergeCells count="12">
    <mergeCell ref="I1:Q1"/>
    <mergeCell ref="A1:H1"/>
    <mergeCell ref="Q3:Q6"/>
    <mergeCell ref="F3:H3"/>
    <mergeCell ref="I3:M3"/>
    <mergeCell ref="A3:A6"/>
    <mergeCell ref="B3:B6"/>
    <mergeCell ref="C3:C6"/>
    <mergeCell ref="D3:D6"/>
    <mergeCell ref="P3:P6"/>
    <mergeCell ref="O3:O6"/>
    <mergeCell ref="N3:N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2023-09-20T10:21:32Z</cp:lastPrinted>
  <dcterms:created xsi:type="dcterms:W3CDTF">2001-11-06T09:07:39Z</dcterms:created>
  <dcterms:modified xsi:type="dcterms:W3CDTF">2024-03-25T07:01:54Z</dcterms:modified>
</cp:coreProperties>
</file>